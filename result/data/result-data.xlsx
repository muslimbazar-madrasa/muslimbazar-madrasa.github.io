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390" yWindow="525" windowWidth="15975" windowHeight="7365" tabRatio="792" activeTab="2"/>
  </bookViews>
  <sheets>
    <sheet name="তাকমিল" sheetId="1" r:id="rId1"/>
    <sheet name="মিশকাত" sheetId="2" r:id="rId2"/>
    <sheet name="জালালাইন" sheetId="3" r:id="rId3"/>
    <sheet name="শরহে বেকায়া" sheetId="4" r:id="rId4"/>
    <sheet name="শরহে জামি" sheetId="5" r:id="rId5"/>
    <sheet name="কাফিয়া" sheetId="6" r:id="rId6"/>
    <sheet name="হেদায়াতুন নাহু" sheetId="7" r:id="rId7"/>
    <sheet name="নাহবেমির" sheetId="8" r:id="rId8"/>
    <sheet name="মিযান" sheetId="9" r:id="rId9"/>
    <sheet name="তাইসির" sheetId="10" r:id="rId10"/>
    <sheet name="এদাদিয়া" sheetId="11" r:id="rId11"/>
    <sheet name="হিফজ" sheetId="13" r:id="rId12"/>
    <sheet name="মকতব" sheetId="12" r:id="rId13"/>
    <sheet name="শিক্ষক" sheetId="14" r:id="rId14"/>
    <sheet name="গ্রুপ শিক্ষক" sheetId="15" r:id="rId15"/>
    <sheet name="বক্স" sheetId="16" r:id="rId16"/>
  </sheets>
  <definedNames>
    <definedName name="_xlnm._FilterDatabase" localSheetId="7" hidden="1">নাহবেমির!$O$3:$O$22</definedName>
    <definedName name="_xlnm._FilterDatabase" localSheetId="12" hidden="1">মকতব!$E$1:$E$130</definedName>
    <definedName name="_xlnm._FilterDatabase" localSheetId="11" hidden="1">হিফজ!$F$1:$F$105</definedName>
  </definedNames>
  <calcPr calcId="125725"/>
</workbook>
</file>

<file path=xl/calcChain.xml><?xml version="1.0" encoding="utf-8"?>
<calcChain xmlns="http://schemas.openxmlformats.org/spreadsheetml/2006/main">
  <c r="N6" i="3"/>
  <c r="X24" i="12" l="1"/>
  <c r="U46" i="13"/>
  <c r="U7"/>
  <c r="N4" i="3"/>
  <c r="N5"/>
  <c r="N7"/>
  <c r="N8"/>
  <c r="N9"/>
  <c r="N11"/>
  <c r="N12"/>
  <c r="N13"/>
  <c r="N14"/>
  <c r="N16"/>
  <c r="N17"/>
  <c r="N18"/>
  <c r="N19"/>
  <c r="N20"/>
  <c r="N21"/>
  <c r="N22"/>
  <c r="N24"/>
  <c r="N25"/>
  <c r="N26"/>
  <c r="N31"/>
  <c r="N23"/>
  <c r="N34"/>
  <c r="N27"/>
  <c r="N28"/>
  <c r="N30"/>
  <c r="N32"/>
  <c r="N36"/>
  <c r="N33"/>
  <c r="N37"/>
  <c r="N10"/>
  <c r="N15"/>
  <c r="N29"/>
  <c r="N35"/>
  <c r="N38"/>
  <c r="N39"/>
  <c r="N41"/>
  <c r="N40"/>
  <c r="N3"/>
  <c r="X66" i="12"/>
  <c r="X21"/>
  <c r="X65"/>
  <c r="X51"/>
  <c r="X52"/>
  <c r="X33"/>
  <c r="X102"/>
  <c r="X110"/>
  <c r="X67"/>
  <c r="X88"/>
  <c r="X42"/>
  <c r="X12"/>
  <c r="X22"/>
  <c r="X44"/>
  <c r="X15"/>
  <c r="X68"/>
  <c r="X70"/>
  <c r="X83"/>
  <c r="X82"/>
  <c r="X50"/>
  <c r="X84"/>
  <c r="X92"/>
  <c r="X106"/>
  <c r="X72"/>
  <c r="X56"/>
  <c r="X27"/>
  <c r="X13"/>
  <c r="X90"/>
  <c r="X73"/>
  <c r="X100"/>
  <c r="X81"/>
  <c r="X28"/>
  <c r="X61"/>
  <c r="X29"/>
  <c r="X97"/>
  <c r="X103"/>
  <c r="X60"/>
  <c r="X3"/>
  <c r="X101"/>
  <c r="X74"/>
  <c r="X32"/>
  <c r="X53"/>
  <c r="X48"/>
  <c r="X119"/>
  <c r="X87"/>
  <c r="X37"/>
  <c r="X31"/>
  <c r="X104"/>
  <c r="X91"/>
  <c r="X78"/>
  <c r="X54"/>
  <c r="X99"/>
  <c r="X86"/>
  <c r="X125"/>
  <c r="X43"/>
  <c r="X9"/>
  <c r="X2"/>
  <c r="X69"/>
  <c r="X71"/>
  <c r="X96"/>
  <c r="X111"/>
  <c r="X39"/>
  <c r="X14"/>
  <c r="X8"/>
  <c r="X16"/>
  <c r="X116"/>
  <c r="X75"/>
  <c r="X19"/>
  <c r="X18"/>
  <c r="X35"/>
  <c r="X26"/>
  <c r="X76"/>
  <c r="X55"/>
  <c r="X94"/>
  <c r="X122"/>
  <c r="X23"/>
  <c r="X57"/>
  <c r="X20"/>
  <c r="X40"/>
  <c r="X34"/>
  <c r="X49"/>
  <c r="X64"/>
  <c r="X79"/>
  <c r="X112"/>
  <c r="X17"/>
  <c r="X115"/>
  <c r="X114"/>
  <c r="X113"/>
  <c r="X93"/>
  <c r="X10"/>
  <c r="X77"/>
  <c r="X11"/>
  <c r="X4"/>
  <c r="X30"/>
  <c r="X7"/>
  <c r="X36"/>
  <c r="X38"/>
  <c r="X62"/>
  <c r="X47"/>
  <c r="X98"/>
  <c r="X109"/>
  <c r="X45"/>
  <c r="X63"/>
  <c r="X59"/>
  <c r="X25"/>
  <c r="X89"/>
  <c r="X108"/>
  <c r="X107"/>
  <c r="X117"/>
  <c r="X58"/>
  <c r="X95"/>
  <c r="X41"/>
  <c r="X85"/>
  <c r="X118"/>
  <c r="X6"/>
  <c r="X46"/>
  <c r="X105"/>
  <c r="X80"/>
  <c r="X5"/>
  <c r="X126"/>
  <c r="X123"/>
  <c r="X121"/>
  <c r="X120"/>
  <c r="X124"/>
  <c r="X4" i="8"/>
  <c r="X5"/>
  <c r="X6"/>
  <c r="X7"/>
  <c r="X8"/>
  <c r="X9"/>
  <c r="X11"/>
  <c r="X12"/>
  <c r="X13"/>
  <c r="X14"/>
  <c r="X15"/>
  <c r="X16"/>
  <c r="X17"/>
  <c r="X19"/>
  <c r="X22"/>
  <c r="X20"/>
  <c r="X21"/>
  <c r="X3"/>
  <c r="V9"/>
  <c r="V10"/>
  <c r="X10" s="1"/>
  <c r="V11"/>
  <c r="V12"/>
  <c r="V14"/>
  <c r="V15"/>
  <c r="V17"/>
  <c r="V19"/>
  <c r="V3"/>
  <c r="V18" l="1"/>
  <c r="X18" s="1"/>
  <c r="P6" i="1"/>
  <c r="P5"/>
  <c r="P14"/>
  <c r="P3"/>
  <c r="P15"/>
  <c r="P30"/>
  <c r="P26"/>
  <c r="P29"/>
  <c r="P8"/>
  <c r="P17"/>
  <c r="P10"/>
  <c r="P7"/>
  <c r="P24"/>
  <c r="P28"/>
  <c r="P23"/>
  <c r="P11"/>
  <c r="P32"/>
  <c r="P13"/>
  <c r="P20"/>
  <c r="P4"/>
  <c r="P9"/>
  <c r="P25"/>
  <c r="P22"/>
  <c r="P19"/>
  <c r="P18"/>
  <c r="P16"/>
  <c r="P21"/>
  <c r="P27"/>
  <c r="P12"/>
  <c r="O5" i="11"/>
  <c r="O4"/>
  <c r="O3"/>
  <c r="O7"/>
  <c r="O10"/>
  <c r="O11"/>
  <c r="O6"/>
  <c r="O15"/>
  <c r="O16"/>
  <c r="O19"/>
  <c r="O13"/>
  <c r="O17"/>
  <c r="O9"/>
  <c r="O14"/>
  <c r="O18"/>
  <c r="O12"/>
  <c r="O8"/>
  <c r="P28" i="2"/>
  <c r="P26"/>
  <c r="P5"/>
  <c r="P22"/>
  <c r="P30"/>
  <c r="P24"/>
  <c r="P21"/>
  <c r="P25"/>
  <c r="P19"/>
  <c r="P11"/>
  <c r="P20"/>
  <c r="P31"/>
  <c r="P10"/>
  <c r="P9"/>
  <c r="P16"/>
  <c r="P18"/>
  <c r="P29"/>
  <c r="P4"/>
  <c r="P8"/>
  <c r="P13"/>
  <c r="P27"/>
  <c r="P32"/>
  <c r="P14"/>
  <c r="P6"/>
  <c r="P7"/>
  <c r="P3"/>
  <c r="P12"/>
  <c r="P23"/>
  <c r="P17"/>
  <c r="P15"/>
  <c r="O9" i="4"/>
  <c r="O11"/>
  <c r="O17"/>
  <c r="O14"/>
  <c r="O15"/>
  <c r="O21"/>
  <c r="O7"/>
  <c r="O4"/>
  <c r="O3"/>
  <c r="O5"/>
  <c r="O13"/>
  <c r="O6"/>
  <c r="O8"/>
  <c r="O20"/>
  <c r="O12"/>
  <c r="O10"/>
  <c r="O19"/>
  <c r="O22"/>
  <c r="O18"/>
  <c r="O16"/>
  <c r="P6" i="6"/>
  <c r="P3"/>
  <c r="P10"/>
  <c r="P9"/>
  <c r="P4"/>
  <c r="P8"/>
  <c r="P5"/>
  <c r="P11"/>
  <c r="P7"/>
  <c r="O16" i="8"/>
  <c r="O20"/>
  <c r="O4"/>
  <c r="O12"/>
  <c r="O17"/>
  <c r="O3"/>
  <c r="O14"/>
  <c r="O22"/>
  <c r="O18"/>
  <c r="O9"/>
  <c r="O10"/>
  <c r="O19"/>
  <c r="O15"/>
  <c r="O11"/>
  <c r="O6"/>
  <c r="O7"/>
  <c r="O21"/>
  <c r="O8"/>
  <c r="O5"/>
  <c r="O13"/>
  <c r="N31" i="10"/>
  <c r="N29"/>
  <c r="N27"/>
  <c r="N9"/>
  <c r="N30"/>
  <c r="N15"/>
  <c r="N5"/>
  <c r="N16"/>
  <c r="N24"/>
  <c r="N18"/>
  <c r="N25"/>
  <c r="N6"/>
  <c r="N26"/>
  <c r="N28"/>
  <c r="N8"/>
  <c r="N7"/>
  <c r="N13"/>
  <c r="N17"/>
  <c r="N3"/>
  <c r="N21"/>
  <c r="N10"/>
  <c r="N22"/>
  <c r="N19"/>
  <c r="N14"/>
  <c r="N4"/>
  <c r="N11"/>
  <c r="N12"/>
  <c r="N20"/>
  <c r="N23"/>
  <c r="P9" i="9"/>
  <c r="P10"/>
  <c r="P14"/>
  <c r="P15"/>
  <c r="P7"/>
  <c r="P8"/>
  <c r="P5"/>
  <c r="P6"/>
  <c r="P11"/>
  <c r="P4"/>
  <c r="P12"/>
  <c r="P3"/>
  <c r="P13"/>
  <c r="O5" i="7"/>
  <c r="O15"/>
  <c r="O4"/>
  <c r="O22"/>
  <c r="O20"/>
  <c r="O24"/>
  <c r="O14"/>
  <c r="O9"/>
  <c r="O13"/>
  <c r="O12"/>
  <c r="O3"/>
  <c r="O6"/>
  <c r="O10"/>
  <c r="O8"/>
  <c r="O7"/>
  <c r="O11"/>
  <c r="O19"/>
  <c r="O18"/>
  <c r="O16"/>
  <c r="O23"/>
  <c r="O25"/>
  <c r="O17"/>
  <c r="O21"/>
  <c r="R12" i="1"/>
  <c r="R6"/>
  <c r="R5"/>
  <c r="R3"/>
  <c r="R15"/>
  <c r="R26"/>
  <c r="R29"/>
  <c r="R8"/>
  <c r="R17"/>
  <c r="R10"/>
  <c r="R24"/>
  <c r="R28"/>
  <c r="R23"/>
  <c r="R11"/>
  <c r="R13"/>
  <c r="R20"/>
  <c r="R4"/>
  <c r="R9"/>
  <c r="R25"/>
  <c r="R22"/>
  <c r="R18"/>
  <c r="R16"/>
  <c r="R27"/>
  <c r="R31"/>
  <c r="U4" i="8"/>
  <c r="U5"/>
  <c r="U6"/>
  <c r="U7"/>
  <c r="U8"/>
  <c r="U9"/>
  <c r="U10"/>
  <c r="U11"/>
  <c r="U12"/>
  <c r="U13"/>
  <c r="U16"/>
  <c r="U14"/>
  <c r="U15"/>
  <c r="U17"/>
  <c r="U19"/>
  <c r="U21"/>
  <c r="U22"/>
  <c r="U20"/>
  <c r="U18"/>
  <c r="U3"/>
  <c r="AJ60" i="12" l="1"/>
  <c r="AJ16"/>
  <c r="AJ68"/>
  <c r="AJ52"/>
  <c r="AJ24"/>
  <c r="AJ33"/>
  <c r="AJ116"/>
  <c r="AJ118"/>
  <c r="AJ69"/>
  <c r="AJ95"/>
  <c r="AJ37"/>
  <c r="AJ14"/>
  <c r="AJ27"/>
  <c r="AJ45"/>
  <c r="AJ17"/>
  <c r="AJ70"/>
  <c r="AJ67"/>
  <c r="AJ88"/>
  <c r="AJ115"/>
  <c r="AJ44"/>
  <c r="AJ80"/>
  <c r="AJ99"/>
  <c r="AJ107"/>
  <c r="AJ71"/>
  <c r="AJ54"/>
  <c r="AJ25"/>
  <c r="AJ12"/>
  <c r="AJ85"/>
  <c r="AJ72"/>
  <c r="AJ92"/>
  <c r="AJ78"/>
  <c r="AJ26"/>
  <c r="AJ64"/>
  <c r="AJ32"/>
  <c r="AJ97"/>
  <c r="AJ101"/>
  <c r="AJ61"/>
  <c r="AJ4"/>
  <c r="AJ100"/>
  <c r="AJ73"/>
  <c r="AJ29"/>
  <c r="AJ48"/>
  <c r="AJ50"/>
  <c r="AJ105"/>
  <c r="AJ83"/>
  <c r="AJ39"/>
  <c r="AJ34"/>
  <c r="AJ111"/>
  <c r="AJ86"/>
  <c r="AJ74"/>
  <c r="AJ55"/>
  <c r="AJ91"/>
  <c r="AJ82"/>
  <c r="AJ125"/>
  <c r="AJ43"/>
  <c r="AJ10"/>
  <c r="AJ2"/>
  <c r="AJ65"/>
  <c r="AJ93"/>
  <c r="AJ90"/>
  <c r="AJ106"/>
  <c r="AJ41"/>
  <c r="AJ11"/>
  <c r="AJ9"/>
  <c r="AJ15"/>
  <c r="AJ119"/>
  <c r="AJ94"/>
  <c r="AJ22"/>
  <c r="AJ20"/>
  <c r="AJ38"/>
  <c r="AJ23"/>
  <c r="AJ75"/>
  <c r="AJ57"/>
  <c r="AJ96"/>
  <c r="AJ124"/>
  <c r="AJ18"/>
  <c r="AJ58"/>
  <c r="AJ21"/>
  <c r="AJ42"/>
  <c r="AJ36"/>
  <c r="AJ51"/>
  <c r="AJ62"/>
  <c r="AJ79"/>
  <c r="AJ117"/>
  <c r="AJ19"/>
  <c r="AJ109"/>
  <c r="AJ121"/>
  <c r="AJ108"/>
  <c r="AJ87"/>
  <c r="AJ53"/>
  <c r="AJ8"/>
  <c r="AJ76"/>
  <c r="AJ13"/>
  <c r="AJ6"/>
  <c r="AJ28"/>
  <c r="AJ5"/>
  <c r="AJ31"/>
  <c r="AJ40"/>
  <c r="AJ66"/>
  <c r="AJ49"/>
  <c r="AJ98"/>
  <c r="AJ104"/>
  <c r="AJ46"/>
  <c r="AJ63"/>
  <c r="AJ56"/>
  <c r="AJ30"/>
  <c r="AJ84"/>
  <c r="AJ102"/>
  <c r="AJ103"/>
  <c r="AJ110"/>
  <c r="AJ59"/>
  <c r="AJ89"/>
  <c r="AJ35"/>
  <c r="AJ81"/>
  <c r="AJ112"/>
  <c r="AJ7"/>
  <c r="AJ47"/>
  <c r="AJ120"/>
  <c r="AJ77"/>
  <c r="AJ3"/>
  <c r="AJ126"/>
  <c r="AJ122"/>
  <c r="AJ123"/>
  <c r="AJ114"/>
  <c r="AJ113"/>
  <c r="AF60"/>
  <c r="AF16"/>
  <c r="AF68"/>
  <c r="AF52"/>
  <c r="AF24"/>
  <c r="AF33"/>
  <c r="AF116"/>
  <c r="AF118"/>
  <c r="AF69"/>
  <c r="AF95"/>
  <c r="AF37"/>
  <c r="AF14"/>
  <c r="AF27"/>
  <c r="AF45"/>
  <c r="AF17"/>
  <c r="AF70"/>
  <c r="AF67"/>
  <c r="AF88"/>
  <c r="AF115"/>
  <c r="AF44"/>
  <c r="AF80"/>
  <c r="AF99"/>
  <c r="AF107"/>
  <c r="AF71"/>
  <c r="AF54"/>
  <c r="AF25"/>
  <c r="AF12"/>
  <c r="AF85"/>
  <c r="AF72"/>
  <c r="AF92"/>
  <c r="AF78"/>
  <c r="AF26"/>
  <c r="AF64"/>
  <c r="AF32"/>
  <c r="AF97"/>
  <c r="AF101"/>
  <c r="AF61"/>
  <c r="AF4"/>
  <c r="AF100"/>
  <c r="AF73"/>
  <c r="AF29"/>
  <c r="AF48"/>
  <c r="AF50"/>
  <c r="AF105"/>
  <c r="AF83"/>
  <c r="AF39"/>
  <c r="AF34"/>
  <c r="AF111"/>
  <c r="AF86"/>
  <c r="AF74"/>
  <c r="AF55"/>
  <c r="AF91"/>
  <c r="AF82"/>
  <c r="AF125"/>
  <c r="AF43"/>
  <c r="AF10"/>
  <c r="AF2"/>
  <c r="AF65"/>
  <c r="AF93"/>
  <c r="AF90"/>
  <c r="AF106"/>
  <c r="AF41"/>
  <c r="AF11"/>
  <c r="AF9"/>
  <c r="AF15"/>
  <c r="AF119"/>
  <c r="AF94"/>
  <c r="AF22"/>
  <c r="AF20"/>
  <c r="AF38"/>
  <c r="AF23"/>
  <c r="AF75"/>
  <c r="AF57"/>
  <c r="AF96"/>
  <c r="AF124"/>
  <c r="AF18"/>
  <c r="AF58"/>
  <c r="AF21"/>
  <c r="AF42"/>
  <c r="AF36"/>
  <c r="AF51"/>
  <c r="AF62"/>
  <c r="AF79"/>
  <c r="AF117"/>
  <c r="AF19"/>
  <c r="AF109"/>
  <c r="AF121"/>
  <c r="AF108"/>
  <c r="AF87"/>
  <c r="AF53"/>
  <c r="AF8"/>
  <c r="AF76"/>
  <c r="AF13"/>
  <c r="AF6"/>
  <c r="AF28"/>
  <c r="AF5"/>
  <c r="AF31"/>
  <c r="AF40"/>
  <c r="AF66"/>
  <c r="AF49"/>
  <c r="AF98"/>
  <c r="AF104"/>
  <c r="AF46"/>
  <c r="AF63"/>
  <c r="AF56"/>
  <c r="AF30"/>
  <c r="AF84"/>
  <c r="AF102"/>
  <c r="AF103"/>
  <c r="AF110"/>
  <c r="AF59"/>
  <c r="AF89"/>
  <c r="AF35"/>
  <c r="AF81"/>
  <c r="AF112"/>
  <c r="AF7"/>
  <c r="AF47"/>
  <c r="AF120"/>
  <c r="AF77"/>
  <c r="AF3"/>
  <c r="AF122"/>
  <c r="AF123"/>
  <c r="AF114"/>
  <c r="AF113"/>
  <c r="AB60"/>
  <c r="AB16"/>
  <c r="AB68"/>
  <c r="AB52"/>
  <c r="AB24"/>
  <c r="AB33"/>
  <c r="AB116"/>
  <c r="AB118"/>
  <c r="AB69"/>
  <c r="AB95"/>
  <c r="AB37"/>
  <c r="AB14"/>
  <c r="AB27"/>
  <c r="AB45"/>
  <c r="AB17"/>
  <c r="AB70"/>
  <c r="AB67"/>
  <c r="AB88"/>
  <c r="AB115"/>
  <c r="AB44"/>
  <c r="AB80"/>
  <c r="AB99"/>
  <c r="AB107"/>
  <c r="AB71"/>
  <c r="AB54"/>
  <c r="AB25"/>
  <c r="AB12"/>
  <c r="AB85"/>
  <c r="AB72"/>
  <c r="AB92"/>
  <c r="AB78"/>
  <c r="AB26"/>
  <c r="AB64"/>
  <c r="AB32"/>
  <c r="AB97"/>
  <c r="AB101"/>
  <c r="AB61"/>
  <c r="AB4"/>
  <c r="AB100"/>
  <c r="AB73"/>
  <c r="AB29"/>
  <c r="AB48"/>
  <c r="AB50"/>
  <c r="AB105"/>
  <c r="AB83"/>
  <c r="AB39"/>
  <c r="AB34"/>
  <c r="AB111"/>
  <c r="AB86"/>
  <c r="AB74"/>
  <c r="AB55"/>
  <c r="AB91"/>
  <c r="AB82"/>
  <c r="AB125"/>
  <c r="AB43"/>
  <c r="AB10"/>
  <c r="AB2"/>
  <c r="AB65"/>
  <c r="AB93"/>
  <c r="AB90"/>
  <c r="AB106"/>
  <c r="AB41"/>
  <c r="AB11"/>
  <c r="AB9"/>
  <c r="AB15"/>
  <c r="AB119"/>
  <c r="AB94"/>
  <c r="AB22"/>
  <c r="AB20"/>
  <c r="AB38"/>
  <c r="AB23"/>
  <c r="AB75"/>
  <c r="AB57"/>
  <c r="AB96"/>
  <c r="AB124"/>
  <c r="AB18"/>
  <c r="AB58"/>
  <c r="AB21"/>
  <c r="AB42"/>
  <c r="AB36"/>
  <c r="AB51"/>
  <c r="AB62"/>
  <c r="AB79"/>
  <c r="AB117"/>
  <c r="AB19"/>
  <c r="AB109"/>
  <c r="AB121"/>
  <c r="AB108"/>
  <c r="AB87"/>
  <c r="AB53"/>
  <c r="AB8"/>
  <c r="AB76"/>
  <c r="AB13"/>
  <c r="AB6"/>
  <c r="AB28"/>
  <c r="AB5"/>
  <c r="AB31"/>
  <c r="AB40"/>
  <c r="AB66"/>
  <c r="AB49"/>
  <c r="AB98"/>
  <c r="AB104"/>
  <c r="AB46"/>
  <c r="AB63"/>
  <c r="AB56"/>
  <c r="AB30"/>
  <c r="AB84"/>
  <c r="AB102"/>
  <c r="AB103"/>
  <c r="AB110"/>
  <c r="AB59"/>
  <c r="AB89"/>
  <c r="AB35"/>
  <c r="AB81"/>
  <c r="AB112"/>
  <c r="AB7"/>
  <c r="AB47"/>
  <c r="AB120"/>
  <c r="AB77"/>
  <c r="AB3"/>
  <c r="AB122"/>
  <c r="AB123"/>
  <c r="AB114"/>
  <c r="AB113"/>
  <c r="AN91" i="13" l="1"/>
  <c r="AO91" s="1"/>
  <c r="AL91"/>
  <c r="AM91" s="1"/>
  <c r="AD91"/>
  <c r="AE91" s="1"/>
  <c r="U91"/>
  <c r="AN9"/>
  <c r="AO9" s="1"/>
  <c r="AL9"/>
  <c r="AM9" s="1"/>
  <c r="AD9"/>
  <c r="AE9" s="1"/>
  <c r="U9"/>
  <c r="AN101"/>
  <c r="AO101" s="1"/>
  <c r="AL101"/>
  <c r="AM101" s="1"/>
  <c r="AD101"/>
  <c r="AE101" s="1"/>
  <c r="U101"/>
  <c r="AN100"/>
  <c r="AO100" s="1"/>
  <c r="AL100"/>
  <c r="AM100" s="1"/>
  <c r="AC100"/>
  <c r="Y100"/>
  <c r="U100"/>
  <c r="AN99"/>
  <c r="AO99" s="1"/>
  <c r="AL99"/>
  <c r="AM99" s="1"/>
  <c r="AK99"/>
  <c r="AH99"/>
  <c r="AC99"/>
  <c r="Y99"/>
  <c r="U99"/>
  <c r="AN98"/>
  <c r="AO98" s="1"/>
  <c r="AL98"/>
  <c r="AM98" s="1"/>
  <c r="AK98"/>
  <c r="AH98"/>
  <c r="AC98"/>
  <c r="Y98"/>
  <c r="U98"/>
  <c r="AN97"/>
  <c r="AO97" s="1"/>
  <c r="AL97"/>
  <c r="AM97" s="1"/>
  <c r="AK97"/>
  <c r="AH97"/>
  <c r="AC97"/>
  <c r="Y97"/>
  <c r="U97"/>
  <c r="AN96"/>
  <c r="AO96" s="1"/>
  <c r="AL96"/>
  <c r="AM96" s="1"/>
  <c r="AK96"/>
  <c r="AH96"/>
  <c r="AC96"/>
  <c r="Y96"/>
  <c r="U96"/>
  <c r="AN95"/>
  <c r="AO95" s="1"/>
  <c r="AL95"/>
  <c r="AM95" s="1"/>
  <c r="AK95"/>
  <c r="AH95"/>
  <c r="AC95"/>
  <c r="Y95"/>
  <c r="U95"/>
  <c r="AN94"/>
  <c r="AO94" s="1"/>
  <c r="AL94"/>
  <c r="AM94" s="1"/>
  <c r="AK94"/>
  <c r="AH94"/>
  <c r="AC94"/>
  <c r="Y94"/>
  <c r="U94"/>
  <c r="AN93"/>
  <c r="AO93" s="1"/>
  <c r="AL93"/>
  <c r="AM93" s="1"/>
  <c r="AK93"/>
  <c r="AH93"/>
  <c r="AC93"/>
  <c r="Y93"/>
  <c r="U93"/>
  <c r="AN49"/>
  <c r="AO49" s="1"/>
  <c r="AL49"/>
  <c r="AM49" s="1"/>
  <c r="AK49"/>
  <c r="AH49"/>
  <c r="AC49"/>
  <c r="Y49"/>
  <c r="U49"/>
  <c r="AN92"/>
  <c r="AO92" s="1"/>
  <c r="AL92"/>
  <c r="AM92" s="1"/>
  <c r="AK92"/>
  <c r="AH92"/>
  <c r="AC92"/>
  <c r="Y92"/>
  <c r="U92"/>
  <c r="AN90"/>
  <c r="AO90" s="1"/>
  <c r="AL90"/>
  <c r="AM90" s="1"/>
  <c r="AK90"/>
  <c r="AH90"/>
  <c r="AC90"/>
  <c r="Y90"/>
  <c r="U90"/>
  <c r="AN89"/>
  <c r="AO89" s="1"/>
  <c r="AL89"/>
  <c r="AM89" s="1"/>
  <c r="AK89"/>
  <c r="AH89"/>
  <c r="AC89"/>
  <c r="Y89"/>
  <c r="U89"/>
  <c r="AN88"/>
  <c r="AO88" s="1"/>
  <c r="AL88"/>
  <c r="AM88" s="1"/>
  <c r="AK88"/>
  <c r="AH88"/>
  <c r="AC88"/>
  <c r="Y88"/>
  <c r="U88"/>
  <c r="AN87"/>
  <c r="AO87" s="1"/>
  <c r="AL87"/>
  <c r="AM87" s="1"/>
  <c r="AK87"/>
  <c r="AH87"/>
  <c r="AC87"/>
  <c r="Y87"/>
  <c r="U87"/>
  <c r="AN86"/>
  <c r="AO86" s="1"/>
  <c r="AL86"/>
  <c r="AM86" s="1"/>
  <c r="AK86"/>
  <c r="AH86"/>
  <c r="AC86"/>
  <c r="Y86"/>
  <c r="U86"/>
  <c r="AN85"/>
  <c r="AO85" s="1"/>
  <c r="AL85"/>
  <c r="AM85" s="1"/>
  <c r="AK85"/>
  <c r="AH85"/>
  <c r="AC85"/>
  <c r="Y85"/>
  <c r="U85"/>
  <c r="AN84"/>
  <c r="AO84" s="1"/>
  <c r="AL84"/>
  <c r="AM84" s="1"/>
  <c r="AK84"/>
  <c r="AH84"/>
  <c r="AC84"/>
  <c r="Y84"/>
  <c r="U84"/>
  <c r="AN83"/>
  <c r="AO83" s="1"/>
  <c r="AL83"/>
  <c r="AM83" s="1"/>
  <c r="AK83"/>
  <c r="AH83"/>
  <c r="AC83"/>
  <c r="Y83"/>
  <c r="U83"/>
  <c r="AN48"/>
  <c r="AO48" s="1"/>
  <c r="AL48"/>
  <c r="AM48" s="1"/>
  <c r="AK48"/>
  <c r="AH48"/>
  <c r="AC48"/>
  <c r="Y48"/>
  <c r="U48"/>
  <c r="AN82"/>
  <c r="AO82" s="1"/>
  <c r="AL82"/>
  <c r="AM82" s="1"/>
  <c r="AK82"/>
  <c r="AH82"/>
  <c r="AC82"/>
  <c r="Y82"/>
  <c r="U82"/>
  <c r="AN47"/>
  <c r="AO47" s="1"/>
  <c r="AL47"/>
  <c r="AM47" s="1"/>
  <c r="AK47"/>
  <c r="AH47"/>
  <c r="AC47"/>
  <c r="Y47"/>
  <c r="U47"/>
  <c r="AN81"/>
  <c r="AO81" s="1"/>
  <c r="AL81"/>
  <c r="AM81" s="1"/>
  <c r="AK81"/>
  <c r="AH81"/>
  <c r="AC81"/>
  <c r="Y81"/>
  <c r="U81"/>
  <c r="AN80"/>
  <c r="AO80" s="1"/>
  <c r="AL80"/>
  <c r="AM80" s="1"/>
  <c r="AK80"/>
  <c r="AH80"/>
  <c r="AC80"/>
  <c r="Y80"/>
  <c r="U80"/>
  <c r="AN79"/>
  <c r="AO79" s="1"/>
  <c r="AL79"/>
  <c r="AM79" s="1"/>
  <c r="AK79"/>
  <c r="AH79"/>
  <c r="AC79"/>
  <c r="Y79"/>
  <c r="U79"/>
  <c r="AN78"/>
  <c r="AO78" s="1"/>
  <c r="AL78"/>
  <c r="AM78" s="1"/>
  <c r="AK78"/>
  <c r="AH78"/>
  <c r="AC78"/>
  <c r="Y78"/>
  <c r="U78"/>
  <c r="AN77"/>
  <c r="AO77" s="1"/>
  <c r="AL77"/>
  <c r="AM77" s="1"/>
  <c r="AK77"/>
  <c r="AH77"/>
  <c r="AC77"/>
  <c r="Y77"/>
  <c r="U77"/>
  <c r="AN76"/>
  <c r="AO76" s="1"/>
  <c r="AL76"/>
  <c r="AM76" s="1"/>
  <c r="AK76"/>
  <c r="AH76"/>
  <c r="AC76"/>
  <c r="Y76"/>
  <c r="U76"/>
  <c r="AN75"/>
  <c r="AO75" s="1"/>
  <c r="AL75"/>
  <c r="AM75" s="1"/>
  <c r="AK75"/>
  <c r="AH75"/>
  <c r="AC75"/>
  <c r="Y75"/>
  <c r="U75"/>
  <c r="CG103"/>
  <c r="CH103" s="1"/>
  <c r="CE103"/>
  <c r="CF103" s="1"/>
  <c r="CD103"/>
  <c r="CA103"/>
  <c r="BV103"/>
  <c r="BR103"/>
  <c r="BN103"/>
  <c r="AN74"/>
  <c r="AO74" s="1"/>
  <c r="AL74"/>
  <c r="AM74" s="1"/>
  <c r="AK74"/>
  <c r="AH74"/>
  <c r="AC74"/>
  <c r="Y74"/>
  <c r="U74"/>
  <c r="AN73"/>
  <c r="AO73" s="1"/>
  <c r="AL73"/>
  <c r="AM73" s="1"/>
  <c r="AK73"/>
  <c r="AH73"/>
  <c r="AC73"/>
  <c r="Y73"/>
  <c r="U73"/>
  <c r="AN72"/>
  <c r="AO72" s="1"/>
  <c r="AL72"/>
  <c r="AM72" s="1"/>
  <c r="AK72"/>
  <c r="AH72"/>
  <c r="AC72"/>
  <c r="Y72"/>
  <c r="U72"/>
  <c r="AN71"/>
  <c r="AO71" s="1"/>
  <c r="AL71"/>
  <c r="AM71" s="1"/>
  <c r="AK71"/>
  <c r="AH71"/>
  <c r="AC71"/>
  <c r="Y71"/>
  <c r="U71"/>
  <c r="AN24"/>
  <c r="AO24" s="1"/>
  <c r="AL24"/>
  <c r="AM24" s="1"/>
  <c r="AK24"/>
  <c r="AH24"/>
  <c r="AC24"/>
  <c r="Y24"/>
  <c r="U24"/>
  <c r="AN70"/>
  <c r="AO70" s="1"/>
  <c r="AL70"/>
  <c r="AM70" s="1"/>
  <c r="AK70"/>
  <c r="AH70"/>
  <c r="AC70"/>
  <c r="Y70"/>
  <c r="U70"/>
  <c r="AN69"/>
  <c r="AO69" s="1"/>
  <c r="AL69"/>
  <c r="AM69" s="1"/>
  <c r="AK69"/>
  <c r="AH69"/>
  <c r="AC69"/>
  <c r="Y69"/>
  <c r="U69"/>
  <c r="AN68"/>
  <c r="AO68" s="1"/>
  <c r="AL68"/>
  <c r="AM68" s="1"/>
  <c r="AK68"/>
  <c r="AH68"/>
  <c r="AC68"/>
  <c r="Y68"/>
  <c r="U68"/>
  <c r="AN45"/>
  <c r="AO45" s="1"/>
  <c r="AL45"/>
  <c r="AM45" s="1"/>
  <c r="AK45"/>
  <c r="AH45"/>
  <c r="AC45"/>
  <c r="Y45"/>
  <c r="U45"/>
  <c r="AN67"/>
  <c r="AO67" s="1"/>
  <c r="AL67"/>
  <c r="AM67" s="1"/>
  <c r="AK67"/>
  <c r="AH67"/>
  <c r="AC67"/>
  <c r="Y67"/>
  <c r="U67"/>
  <c r="AN66"/>
  <c r="AO66" s="1"/>
  <c r="AL66"/>
  <c r="AM66" s="1"/>
  <c r="AK66"/>
  <c r="AH66"/>
  <c r="AC66"/>
  <c r="Y66"/>
  <c r="U66"/>
  <c r="AN65"/>
  <c r="AO65" s="1"/>
  <c r="AL65"/>
  <c r="AM65" s="1"/>
  <c r="AK65"/>
  <c r="AH65"/>
  <c r="AC65"/>
  <c r="Y65"/>
  <c r="U65"/>
  <c r="AN64"/>
  <c r="AO64" s="1"/>
  <c r="AL64"/>
  <c r="AM64" s="1"/>
  <c r="AK64"/>
  <c r="AH64"/>
  <c r="AC64"/>
  <c r="Y64"/>
  <c r="U64"/>
  <c r="AN44"/>
  <c r="AO44" s="1"/>
  <c r="AL44"/>
  <c r="AM44" s="1"/>
  <c r="AK44"/>
  <c r="AH44"/>
  <c r="AC44"/>
  <c r="Y44"/>
  <c r="U44"/>
  <c r="AN63"/>
  <c r="AO63" s="1"/>
  <c r="AL63"/>
  <c r="AM63" s="1"/>
  <c r="AK63"/>
  <c r="AH63"/>
  <c r="AC63"/>
  <c r="Y63"/>
  <c r="U63"/>
  <c r="AN62"/>
  <c r="AO62" s="1"/>
  <c r="AL62"/>
  <c r="AM62" s="1"/>
  <c r="AK62"/>
  <c r="AH62"/>
  <c r="AC62"/>
  <c r="Y62"/>
  <c r="U62"/>
  <c r="AN61"/>
  <c r="AO61" s="1"/>
  <c r="AL61"/>
  <c r="AM61" s="1"/>
  <c r="AK61"/>
  <c r="AH61"/>
  <c r="AC61"/>
  <c r="Y61"/>
  <c r="U61"/>
  <c r="AN60"/>
  <c r="AO60" s="1"/>
  <c r="AL60"/>
  <c r="AM60" s="1"/>
  <c r="AK60"/>
  <c r="AH60"/>
  <c r="AC60"/>
  <c r="Y60"/>
  <c r="U60"/>
  <c r="AN59"/>
  <c r="AO59" s="1"/>
  <c r="AL59"/>
  <c r="AM59" s="1"/>
  <c r="AK59"/>
  <c r="AH59"/>
  <c r="AC59"/>
  <c r="Y59"/>
  <c r="U59"/>
  <c r="AN58"/>
  <c r="AO58" s="1"/>
  <c r="AL58"/>
  <c r="AM58" s="1"/>
  <c r="AK58"/>
  <c r="AH58"/>
  <c r="AC58"/>
  <c r="Y58"/>
  <c r="U58"/>
  <c r="AN57"/>
  <c r="AO57" s="1"/>
  <c r="AL57"/>
  <c r="AM57" s="1"/>
  <c r="AK57"/>
  <c r="AH57"/>
  <c r="AC57"/>
  <c r="Y57"/>
  <c r="U57"/>
  <c r="AN43"/>
  <c r="AO43" s="1"/>
  <c r="AL43"/>
  <c r="AM43" s="1"/>
  <c r="AK43"/>
  <c r="AH43"/>
  <c r="AC43"/>
  <c r="Y43"/>
  <c r="U43"/>
  <c r="AN56"/>
  <c r="AO56" s="1"/>
  <c r="AL56"/>
  <c r="AM56" s="1"/>
  <c r="AK56"/>
  <c r="AH56"/>
  <c r="AC56"/>
  <c r="Y56"/>
  <c r="U56"/>
  <c r="AN55"/>
  <c r="AO55" s="1"/>
  <c r="AL55"/>
  <c r="AM55" s="1"/>
  <c r="AK55"/>
  <c r="AH55"/>
  <c r="AC55"/>
  <c r="Y55"/>
  <c r="U55"/>
  <c r="AN42"/>
  <c r="AO42" s="1"/>
  <c r="AL42"/>
  <c r="AM42" s="1"/>
  <c r="AK42"/>
  <c r="AH42"/>
  <c r="AC42"/>
  <c r="Y42"/>
  <c r="U42"/>
  <c r="AN54"/>
  <c r="AO54" s="1"/>
  <c r="AL54"/>
  <c r="AM54" s="1"/>
  <c r="AK54"/>
  <c r="AH54"/>
  <c r="AC54"/>
  <c r="Y54"/>
  <c r="U54"/>
  <c r="AN53"/>
  <c r="AO53" s="1"/>
  <c r="AL53"/>
  <c r="AM53" s="1"/>
  <c r="AK53"/>
  <c r="AH53"/>
  <c r="AC53"/>
  <c r="Y53"/>
  <c r="U53"/>
  <c r="AN23"/>
  <c r="AO23" s="1"/>
  <c r="AL23"/>
  <c r="AM23" s="1"/>
  <c r="AK23"/>
  <c r="AH23"/>
  <c r="AC23"/>
  <c r="Y23"/>
  <c r="U23"/>
  <c r="AN52"/>
  <c r="AO52" s="1"/>
  <c r="AL52"/>
  <c r="AM52" s="1"/>
  <c r="AK52"/>
  <c r="AH52"/>
  <c r="AC52"/>
  <c r="Y52"/>
  <c r="U52"/>
  <c r="AN41"/>
  <c r="AO41" s="1"/>
  <c r="AL41"/>
  <c r="AM41" s="1"/>
  <c r="AK41"/>
  <c r="AH41"/>
  <c r="AC41"/>
  <c r="Y41"/>
  <c r="U41"/>
  <c r="AN40"/>
  <c r="AO40" s="1"/>
  <c r="AL40"/>
  <c r="AM40" s="1"/>
  <c r="AK40"/>
  <c r="AH40"/>
  <c r="AC40"/>
  <c r="Y40"/>
  <c r="U40"/>
  <c r="AN39"/>
  <c r="AO39" s="1"/>
  <c r="AL39"/>
  <c r="AM39" s="1"/>
  <c r="AK39"/>
  <c r="AH39"/>
  <c r="AC39"/>
  <c r="Y39"/>
  <c r="U39"/>
  <c r="AN51"/>
  <c r="AO51" s="1"/>
  <c r="AL51"/>
  <c r="AM51" s="1"/>
  <c r="AK51"/>
  <c r="AH51"/>
  <c r="AC51"/>
  <c r="Y51"/>
  <c r="U51"/>
  <c r="AN38"/>
  <c r="AO38" s="1"/>
  <c r="AL38"/>
  <c r="AM38" s="1"/>
  <c r="AK38"/>
  <c r="AH38"/>
  <c r="AC38"/>
  <c r="Y38"/>
  <c r="U38"/>
  <c r="AN37"/>
  <c r="AO37" s="1"/>
  <c r="AL37"/>
  <c r="AM37" s="1"/>
  <c r="AK37"/>
  <c r="AH37"/>
  <c r="AC37"/>
  <c r="Y37"/>
  <c r="U37"/>
  <c r="AN50"/>
  <c r="AO50" s="1"/>
  <c r="AL50"/>
  <c r="AM50" s="1"/>
  <c r="AK50"/>
  <c r="AH50"/>
  <c r="AC50"/>
  <c r="Y50"/>
  <c r="U50"/>
  <c r="AN36"/>
  <c r="AO36" s="1"/>
  <c r="AL36"/>
  <c r="AM36" s="1"/>
  <c r="AK36"/>
  <c r="AH36"/>
  <c r="AC36"/>
  <c r="Y36"/>
  <c r="U36"/>
  <c r="AN13"/>
  <c r="AO13" s="1"/>
  <c r="AL13"/>
  <c r="AM13" s="1"/>
  <c r="AK13"/>
  <c r="AH13"/>
  <c r="AC13"/>
  <c r="Y13"/>
  <c r="U13"/>
  <c r="AN35"/>
  <c r="AO35" s="1"/>
  <c r="AL35"/>
  <c r="AM35" s="1"/>
  <c r="AK35"/>
  <c r="AH35"/>
  <c r="AC35"/>
  <c r="Y35"/>
  <c r="U35"/>
  <c r="AN22"/>
  <c r="AO22" s="1"/>
  <c r="AL22"/>
  <c r="AM22" s="1"/>
  <c r="AK22"/>
  <c r="AH22"/>
  <c r="AC22"/>
  <c r="Y22"/>
  <c r="U22"/>
  <c r="AN34"/>
  <c r="AO34" s="1"/>
  <c r="AL34"/>
  <c r="AM34" s="1"/>
  <c r="AK34"/>
  <c r="AH34"/>
  <c r="AC34"/>
  <c r="Y34"/>
  <c r="U34"/>
  <c r="AN33"/>
  <c r="AO33" s="1"/>
  <c r="AL33"/>
  <c r="AM33" s="1"/>
  <c r="AK33"/>
  <c r="AH33"/>
  <c r="AC33"/>
  <c r="Y33"/>
  <c r="U33"/>
  <c r="AN12"/>
  <c r="AO12" s="1"/>
  <c r="AL12"/>
  <c r="AM12" s="1"/>
  <c r="AK12"/>
  <c r="AH12"/>
  <c r="AC12"/>
  <c r="Y12"/>
  <c r="U12"/>
  <c r="AN21"/>
  <c r="AO21" s="1"/>
  <c r="AL21"/>
  <c r="AM21" s="1"/>
  <c r="AK21"/>
  <c r="AH21"/>
  <c r="AC21"/>
  <c r="Y21"/>
  <c r="U21"/>
  <c r="AN32"/>
  <c r="AO32" s="1"/>
  <c r="AL32"/>
  <c r="AM32" s="1"/>
  <c r="AK32"/>
  <c r="AH32"/>
  <c r="AC32"/>
  <c r="Y32"/>
  <c r="U32"/>
  <c r="AN31"/>
  <c r="AO31" s="1"/>
  <c r="AL31"/>
  <c r="AM31" s="1"/>
  <c r="AK31"/>
  <c r="AH31"/>
  <c r="AC31"/>
  <c r="Y31"/>
  <c r="U31"/>
  <c r="AN30"/>
  <c r="AO30" s="1"/>
  <c r="AL30"/>
  <c r="AM30" s="1"/>
  <c r="AK30"/>
  <c r="AH30"/>
  <c r="AC30"/>
  <c r="Y30"/>
  <c r="U30"/>
  <c r="AN11"/>
  <c r="AO11" s="1"/>
  <c r="AL11"/>
  <c r="AM11" s="1"/>
  <c r="AK11"/>
  <c r="AH11"/>
  <c r="AC11"/>
  <c r="Y11"/>
  <c r="U11"/>
  <c r="AN20"/>
  <c r="AO20" s="1"/>
  <c r="AL20"/>
  <c r="AM20" s="1"/>
  <c r="AK20"/>
  <c r="AH20"/>
  <c r="AC20"/>
  <c r="Y20"/>
  <c r="U20"/>
  <c r="AN29"/>
  <c r="AO29" s="1"/>
  <c r="AL29"/>
  <c r="AM29" s="1"/>
  <c r="AK29"/>
  <c r="AH29"/>
  <c r="AC29"/>
  <c r="Y29"/>
  <c r="U29"/>
  <c r="AN28"/>
  <c r="AO28" s="1"/>
  <c r="AL28"/>
  <c r="AM28" s="1"/>
  <c r="AK28"/>
  <c r="AH28"/>
  <c r="AC28"/>
  <c r="Y28"/>
  <c r="U28"/>
  <c r="AN19"/>
  <c r="AO19" s="1"/>
  <c r="AL19"/>
  <c r="AM19" s="1"/>
  <c r="AK19"/>
  <c r="AH19"/>
  <c r="AC19"/>
  <c r="Y19"/>
  <c r="U19"/>
  <c r="AN10"/>
  <c r="AO10" s="1"/>
  <c r="AL10"/>
  <c r="AM10" s="1"/>
  <c r="AK10"/>
  <c r="AH10"/>
  <c r="AC10"/>
  <c r="Y10"/>
  <c r="U10"/>
  <c r="AN27"/>
  <c r="AO27" s="1"/>
  <c r="AL27"/>
  <c r="AM27" s="1"/>
  <c r="AK27"/>
  <c r="AH27"/>
  <c r="AC27"/>
  <c r="Y27"/>
  <c r="U27"/>
  <c r="AN26"/>
  <c r="AO26" s="1"/>
  <c r="AL26"/>
  <c r="AM26" s="1"/>
  <c r="AK26"/>
  <c r="AH26"/>
  <c r="AC26"/>
  <c r="Y26"/>
  <c r="U26"/>
  <c r="AN14"/>
  <c r="AO14" s="1"/>
  <c r="AL14"/>
  <c r="AM14" s="1"/>
  <c r="AK14"/>
  <c r="AH14"/>
  <c r="AC14"/>
  <c r="Y14"/>
  <c r="U14"/>
  <c r="AN18"/>
  <c r="AO18" s="1"/>
  <c r="AL18"/>
  <c r="AM18" s="1"/>
  <c r="AK18"/>
  <c r="AH18"/>
  <c r="AC18"/>
  <c r="Y18"/>
  <c r="U18"/>
  <c r="AN25"/>
  <c r="AO25" s="1"/>
  <c r="AL25"/>
  <c r="AM25" s="1"/>
  <c r="AK25"/>
  <c r="AH25"/>
  <c r="AC25"/>
  <c r="Y25"/>
  <c r="U25"/>
  <c r="AN17"/>
  <c r="AO17" s="1"/>
  <c r="AL17"/>
  <c r="AM17" s="1"/>
  <c r="AK17"/>
  <c r="AH17"/>
  <c r="AC17"/>
  <c r="Y17"/>
  <c r="U17"/>
  <c r="AN8"/>
  <c r="AO8" s="1"/>
  <c r="AL8"/>
  <c r="AM8" s="1"/>
  <c r="AK8"/>
  <c r="AH8"/>
  <c r="AC8"/>
  <c r="Y8"/>
  <c r="U8"/>
  <c r="AN16"/>
  <c r="AO16" s="1"/>
  <c r="AL16"/>
  <c r="AM16" s="1"/>
  <c r="AK16"/>
  <c r="AH16"/>
  <c r="AC16"/>
  <c r="Y16"/>
  <c r="U16"/>
  <c r="AN15"/>
  <c r="AO15" s="1"/>
  <c r="AL15"/>
  <c r="AM15" s="1"/>
  <c r="AK15"/>
  <c r="AH15"/>
  <c r="AC15"/>
  <c r="Y15"/>
  <c r="U15"/>
  <c r="CH46"/>
  <c r="CI46" s="1"/>
  <c r="CF46"/>
  <c r="CG46" s="1"/>
  <c r="CE46"/>
  <c r="CB46"/>
  <c r="BW46"/>
  <c r="BS46"/>
  <c r="BO46"/>
  <c r="AN6"/>
  <c r="AO6" s="1"/>
  <c r="AL6"/>
  <c r="AM6" s="1"/>
  <c r="AK6"/>
  <c r="AH6"/>
  <c r="AC6"/>
  <c r="Y6"/>
  <c r="U6"/>
  <c r="AN5"/>
  <c r="AO5" s="1"/>
  <c r="AL5"/>
  <c r="AM5" s="1"/>
  <c r="AK5"/>
  <c r="AH5"/>
  <c r="AC5"/>
  <c r="Y5"/>
  <c r="U5"/>
  <c r="AN4"/>
  <c r="AO4" s="1"/>
  <c r="AL4"/>
  <c r="AM4" s="1"/>
  <c r="AK4"/>
  <c r="AH4"/>
  <c r="AC4"/>
  <c r="Y4"/>
  <c r="U4"/>
  <c r="AN3"/>
  <c r="AO3" s="1"/>
  <c r="AL3"/>
  <c r="AM3" s="1"/>
  <c r="AK3"/>
  <c r="AH3"/>
  <c r="AC3"/>
  <c r="Y3"/>
  <c r="U3"/>
  <c r="AN2"/>
  <c r="AO2" s="1"/>
  <c r="AL2"/>
  <c r="AM2" s="1"/>
  <c r="AK2"/>
  <c r="AH2"/>
  <c r="AC2"/>
  <c r="Y2"/>
  <c r="U2"/>
  <c r="AD90" l="1"/>
  <c r="AE90" s="1"/>
  <c r="AD98"/>
  <c r="AE98" s="1"/>
  <c r="AD67"/>
  <c r="AE67" s="1"/>
  <c r="AD66"/>
  <c r="AE66" s="1"/>
  <c r="AD100"/>
  <c r="AE100" s="1"/>
  <c r="AD8"/>
  <c r="AE8" s="1"/>
  <c r="AD64"/>
  <c r="AE64" s="1"/>
  <c r="AD14"/>
  <c r="AE14" s="1"/>
  <c r="AD85"/>
  <c r="AE85" s="1"/>
  <c r="AD80"/>
  <c r="AE80" s="1"/>
  <c r="AD41"/>
  <c r="AE41" s="1"/>
  <c r="AD43"/>
  <c r="AE43" s="1"/>
  <c r="AD60"/>
  <c r="AE60" s="1"/>
  <c r="AD44"/>
  <c r="AE44" s="1"/>
  <c r="AD68"/>
  <c r="AE68" s="1"/>
  <c r="AD71"/>
  <c r="AE71" s="1"/>
  <c r="AD47"/>
  <c r="AE47" s="1"/>
  <c r="AD84"/>
  <c r="AE84" s="1"/>
  <c r="AD33"/>
  <c r="AE33" s="1"/>
  <c r="AD13"/>
  <c r="AE13" s="1"/>
  <c r="AD38"/>
  <c r="AE38" s="1"/>
  <c r="AD70"/>
  <c r="AE70" s="1"/>
  <c r="AD73"/>
  <c r="AE73" s="1"/>
  <c r="AD48"/>
  <c r="AE48" s="1"/>
  <c r="AD86"/>
  <c r="AE86" s="1"/>
  <c r="AD92"/>
  <c r="AE92" s="1"/>
  <c r="AD27"/>
  <c r="AE27" s="1"/>
  <c r="AD31"/>
  <c r="AE31" s="1"/>
  <c r="AD32"/>
  <c r="AE32" s="1"/>
  <c r="AD34"/>
  <c r="AE34" s="1"/>
  <c r="AD36"/>
  <c r="AE36" s="1"/>
  <c r="AD51"/>
  <c r="AE51" s="1"/>
  <c r="AD53"/>
  <c r="AE53" s="1"/>
  <c r="AD56"/>
  <c r="AE56" s="1"/>
  <c r="AD63"/>
  <c r="AE63" s="1"/>
  <c r="AD74"/>
  <c r="AE74" s="1"/>
  <c r="AD93"/>
  <c r="AE93" s="1"/>
  <c r="AD15"/>
  <c r="AE15" s="1"/>
  <c r="AD25"/>
  <c r="AE25" s="1"/>
  <c r="AD29"/>
  <c r="AE29" s="1"/>
  <c r="AD52"/>
  <c r="AE52" s="1"/>
  <c r="AD19"/>
  <c r="AE19" s="1"/>
  <c r="AD11"/>
  <c r="AE11" s="1"/>
  <c r="AD2"/>
  <c r="AE2" s="1"/>
  <c r="AD17"/>
  <c r="AE17" s="1"/>
  <c r="AD26"/>
  <c r="AE26" s="1"/>
  <c r="AD30"/>
  <c r="AE30" s="1"/>
  <c r="AD12"/>
  <c r="AE12" s="1"/>
  <c r="AD37"/>
  <c r="AE37" s="1"/>
  <c r="AD23"/>
  <c r="AE23" s="1"/>
  <c r="AD55"/>
  <c r="AE55" s="1"/>
  <c r="AD58"/>
  <c r="AE58" s="1"/>
  <c r="AD62"/>
  <c r="AE62" s="1"/>
  <c r="AD76"/>
  <c r="AE76" s="1"/>
  <c r="AD49"/>
  <c r="AE49" s="1"/>
  <c r="BX46"/>
  <c r="BY46" s="1"/>
  <c r="AD89"/>
  <c r="AE89" s="1"/>
  <c r="AD97"/>
  <c r="AE97" s="1"/>
  <c r="AD28"/>
  <c r="AE28" s="1"/>
  <c r="AD4"/>
  <c r="AE4" s="1"/>
  <c r="AD5"/>
  <c r="AE5" s="1"/>
  <c r="AD18"/>
  <c r="AE18" s="1"/>
  <c r="AD10"/>
  <c r="AE10" s="1"/>
  <c r="AD21"/>
  <c r="AE21" s="1"/>
  <c r="AD22"/>
  <c r="AE22" s="1"/>
  <c r="AD50"/>
  <c r="AE50" s="1"/>
  <c r="AD42"/>
  <c r="AE42" s="1"/>
  <c r="AD61"/>
  <c r="AE61" s="1"/>
  <c r="AD65"/>
  <c r="AE65" s="1"/>
  <c r="AD24"/>
  <c r="AE24" s="1"/>
  <c r="BW103"/>
  <c r="BX103" s="1"/>
  <c r="AD75"/>
  <c r="AE75" s="1"/>
  <c r="AD81"/>
  <c r="AE81" s="1"/>
  <c r="AD83"/>
  <c r="AE83" s="1"/>
  <c r="AD87"/>
  <c r="AE87" s="1"/>
  <c r="AD99"/>
  <c r="AE99" s="1"/>
  <c r="AD45"/>
  <c r="AE45" s="1"/>
  <c r="AD77"/>
  <c r="AE77" s="1"/>
  <c r="AD78"/>
  <c r="AE78" s="1"/>
  <c r="AD79"/>
  <c r="AE79" s="1"/>
  <c r="AD94"/>
  <c r="AE94" s="1"/>
  <c r="AD95"/>
  <c r="AE95" s="1"/>
  <c r="AD96"/>
  <c r="AE96" s="1"/>
  <c r="AD16"/>
  <c r="AE16" s="1"/>
  <c r="AD20"/>
  <c r="AE20" s="1"/>
  <c r="AD39"/>
  <c r="AE39" s="1"/>
  <c r="AD40"/>
  <c r="AE40" s="1"/>
  <c r="AD57"/>
  <c r="AE57" s="1"/>
  <c r="AD69"/>
  <c r="AE69" s="1"/>
  <c r="AD82"/>
  <c r="AE82" s="1"/>
  <c r="AD3"/>
  <c r="AE3" s="1"/>
  <c r="AD6"/>
  <c r="AE6" s="1"/>
  <c r="AD54"/>
  <c r="AE54" s="1"/>
  <c r="AD59"/>
  <c r="AE59" s="1"/>
  <c r="AD72"/>
  <c r="AE72" s="1"/>
  <c r="AD88"/>
  <c r="AE88" s="1"/>
  <c r="AD35"/>
  <c r="AE35" s="1"/>
</calcChain>
</file>

<file path=xl/sharedStrings.xml><?xml version="1.0" encoding="utf-8"?>
<sst xmlns="http://schemas.openxmlformats.org/spreadsheetml/2006/main" count="2552" uniqueCount="1322">
  <si>
    <t>ক্রমিক</t>
  </si>
  <si>
    <t>নাম</t>
  </si>
  <si>
    <t>পিতার নাম</t>
  </si>
  <si>
    <t>রোল নং</t>
  </si>
  <si>
    <t>কুরআন</t>
  </si>
  <si>
    <t>হাতের লেখা</t>
  </si>
  <si>
    <t>বাংলা</t>
  </si>
  <si>
    <t>গণিত</t>
  </si>
  <si>
    <t>গ্রুপ</t>
  </si>
  <si>
    <t>শ্রেণি</t>
  </si>
  <si>
    <t>কুরআন/আম্মাপারা/কায়দা</t>
  </si>
  <si>
    <t>তাজবিদ</t>
  </si>
  <si>
    <t>হাদিস ও মাসাইল</t>
  </si>
  <si>
    <t>ইংরেজি</t>
  </si>
  <si>
    <t>নাজেরা খ</t>
  </si>
  <si>
    <t>প্রথম শ্রেণী</t>
  </si>
  <si>
    <t>আম্মাপারা ক</t>
  </si>
  <si>
    <t>দ্বিতীয় শ্রেণী</t>
  </si>
  <si>
    <t>বোর্ড খ</t>
  </si>
  <si>
    <t>আম্মাপারা খ</t>
  </si>
  <si>
    <t>বোর্ড ক</t>
  </si>
  <si>
    <t>চতুর্থ শ্রেণী</t>
  </si>
  <si>
    <t>তৃতীয় শ্রেণী</t>
  </si>
  <si>
    <t>শিশু শ্রেণী</t>
  </si>
  <si>
    <t>গ্রুপ নং</t>
  </si>
  <si>
    <t>পরীক্ষার গ্রুপ</t>
  </si>
  <si>
    <t>তাজবিদ মোট</t>
  </si>
  <si>
    <t>মাসাইল মোট</t>
  </si>
  <si>
    <t>২০ পারা</t>
  </si>
  <si>
    <t>৩০ পারা</t>
  </si>
  <si>
    <t>১০ পারা</t>
  </si>
  <si>
    <t>শিক্ষকের নাম</t>
  </si>
  <si>
    <t>কিতাব-১</t>
  </si>
  <si>
    <t>কিতাব-২</t>
  </si>
  <si>
    <t>কিতাব-৩</t>
  </si>
  <si>
    <t/>
  </si>
  <si>
    <t>মুফতি আবদুল ওয়াহিদ কাসেমি সাহেব</t>
  </si>
  <si>
    <t>বুখারী ২য়</t>
  </si>
  <si>
    <t>উর্দূ তেসরি</t>
  </si>
  <si>
    <t>মাওলানা জাফর আহমদ কাসেমি সাহেব</t>
  </si>
  <si>
    <t>বুখারী ১ম</t>
  </si>
  <si>
    <t>দেওয়ানে মুতানাব্বী</t>
  </si>
  <si>
    <t>মাওলানা শফিকুল ইসলাম সাহেব</t>
  </si>
  <si>
    <t>মুসলিম ১ম</t>
  </si>
  <si>
    <t>মিশকাত ১ম</t>
  </si>
  <si>
    <t>নুরুল আনওয়ার - কিতাবুল্লাহ</t>
  </si>
  <si>
    <t>কিতাব-৪</t>
  </si>
  <si>
    <t xml:space="preserve">বুখারী ১ম </t>
  </si>
  <si>
    <t>মুফতি হারুন সাহেব</t>
  </si>
  <si>
    <t>মাওলানা খাইরুল আলম সাহেব</t>
  </si>
  <si>
    <t>মাওলানা ওমর আলী সাহেব</t>
  </si>
  <si>
    <t>মুফতি নুরুজ্জামান সাহেব</t>
  </si>
  <si>
    <t>মাওলানা খালেদ বিন ফরীদ সাহেব</t>
  </si>
  <si>
    <t>মুফতি শামসুল আলম কাসেমি সাহেব</t>
  </si>
  <si>
    <t>মাওলানা শাহজাহান ফারুকী সাহেব</t>
  </si>
  <si>
    <t>মাওলানা মুহাম্মদ আলী সাহেব</t>
  </si>
  <si>
    <t>মাওলানা আবদুল্লাহ মিয়াজী সাহেব</t>
  </si>
  <si>
    <t>মাওলানা ফয়যুল্লাহ ফাইয়ায সাহেব</t>
  </si>
  <si>
    <t>মুফতি শুয়াইব মোরশেদ সাহেব</t>
  </si>
  <si>
    <t>মাওলানা সাদ আবদুল্লাহ মামুন সাহেব</t>
  </si>
  <si>
    <t>মুফতি রফিকুল ইসলাম সাহেব</t>
  </si>
  <si>
    <t>মাওলানা রাশেদুল ইসলাম সাহেব</t>
  </si>
  <si>
    <t>মুফতি সুলাইমান হানাফী সাহেব</t>
  </si>
  <si>
    <t>আবু জাফর ছাদেক আহমদ</t>
  </si>
  <si>
    <t>মুফতি মোশাররফ বিন মুখলিস সাহেব</t>
  </si>
  <si>
    <t>মাস্টার ইয়াসিন আহমাদ সাহেব</t>
  </si>
  <si>
    <t>হাফেজ মাওলানা আবদুস সালাম সাহেব</t>
  </si>
  <si>
    <t>হাফেজ মাওলানা মুহাম্মদ আলী সাহেব</t>
  </si>
  <si>
    <t>হাফেজ ইমরান হুসাইন সাহেব</t>
  </si>
  <si>
    <t>হাফেজ মাওলানা সাদেকুল ইসলাম সাহেব</t>
  </si>
  <si>
    <t>হাফেজ মাওলানা আবদুল্লাহ শামীম সাহেব</t>
  </si>
  <si>
    <t>হাফেজ মাওলানা মুঈনুদ্দীন সাহেব</t>
  </si>
  <si>
    <t>হাফেজ মাওলানা আবদুল আজিজ সাহেব</t>
  </si>
  <si>
    <t>ক্বারী মাওলানা ইউনুস আহমাদ সাহেব</t>
  </si>
  <si>
    <t>ক্বারী মাওলানা আবদুস সাত্তার সাহেব</t>
  </si>
  <si>
    <t>ক্বারী মাওলানা হারুনুর রশিদ সাহেব</t>
  </si>
  <si>
    <t>ক্বারী হাফেজ আবু নাসের সাহেব</t>
  </si>
  <si>
    <t>ক্বারী হাফেজ আশিকুর রহমান সাহেব</t>
  </si>
  <si>
    <t>ক্বারী আবুল কালাম সাহেব</t>
  </si>
  <si>
    <t>ক্বারী মাওলানা রফিকুল ইসলাম সাহেব</t>
  </si>
  <si>
    <t>আবু দাউদ</t>
  </si>
  <si>
    <t>জালালাইন ২য়</t>
  </si>
  <si>
    <t>সমাজ-ভূগোল ও ইতিহাস</t>
  </si>
  <si>
    <t>মুসলিম ২য়</t>
  </si>
  <si>
    <t>মিশকাত ২য়</t>
  </si>
  <si>
    <t>শরহে তাহযিব</t>
  </si>
  <si>
    <t>সিরাতে খাতামুল আম্বিয়া</t>
  </si>
  <si>
    <t xml:space="preserve">কারীমা </t>
  </si>
  <si>
    <t>তাহরিকে দেওবন্দ</t>
  </si>
  <si>
    <t xml:space="preserve">তিরমিযি ১ম </t>
  </si>
  <si>
    <t>শরহে বেকায়া ১ম</t>
  </si>
  <si>
    <t xml:space="preserve">তাফসিরে বায়যাবী </t>
  </si>
  <si>
    <t>কাফিয়া</t>
  </si>
  <si>
    <t>মিযানুস সরফ</t>
  </si>
  <si>
    <t>নাসাঈ</t>
  </si>
  <si>
    <t xml:space="preserve">মুয়াত্তা মালেক </t>
  </si>
  <si>
    <t>কানযুদ দাকাঈক</t>
  </si>
  <si>
    <t>ইলমুস সরফ</t>
  </si>
  <si>
    <t>দ্বীন কী বাঁতে</t>
  </si>
  <si>
    <t>বেহেশতি জেওর</t>
  </si>
  <si>
    <t>তাইসিরুল মানতেক</t>
  </si>
  <si>
    <t xml:space="preserve">তালিমুল ইসলাম ১ম </t>
  </si>
  <si>
    <t xml:space="preserve">শরহে আকাইদ </t>
  </si>
  <si>
    <t>মাকামাতে হারিরি</t>
  </si>
  <si>
    <t xml:space="preserve">নাফহাতুল আদব </t>
  </si>
  <si>
    <t xml:space="preserve">বাংলা ও ব্যাকরণ ৫ম </t>
  </si>
  <si>
    <t>তিরমিযি ২য়</t>
  </si>
  <si>
    <t>হেদায়া ৩য়</t>
  </si>
  <si>
    <t>আত তরিক ইলাল ইনশা ৩য়</t>
  </si>
  <si>
    <t>ইলমুস সিগাহ</t>
  </si>
  <si>
    <t>হেদায়া ২য়</t>
  </si>
  <si>
    <t>নাফহাতুল আরব</t>
  </si>
  <si>
    <t xml:space="preserve">মিরকাত </t>
  </si>
  <si>
    <t>শরহে নুখবাহ</t>
  </si>
  <si>
    <t>দুরুসুল বালাগাহ</t>
  </si>
  <si>
    <t>আল ফিকহুল মুয়াসসার</t>
  </si>
  <si>
    <t>শরহে মাআনিল আছার</t>
  </si>
  <si>
    <t>হেদায়া ৪র্থ</t>
  </si>
  <si>
    <t>শরহে বেকায়া ২য়</t>
  </si>
  <si>
    <t xml:space="preserve">সিরাজী </t>
  </si>
  <si>
    <t>নাহবেমির</t>
  </si>
  <si>
    <t>নুরুল ঈযাহ</t>
  </si>
  <si>
    <t xml:space="preserve">তারিখুল ইসলাম </t>
  </si>
  <si>
    <t>রিয়াযুস সালিহীন ও ইসলামী অর্থনীতি</t>
  </si>
  <si>
    <t>শরহে জামী</t>
  </si>
  <si>
    <t>উসুলুশ শাশী</t>
  </si>
  <si>
    <t>এসো আরবি শিখি</t>
  </si>
  <si>
    <t>মুখতাসারুল মাআনী</t>
  </si>
  <si>
    <t>হেদায়াতুন নাহু</t>
  </si>
  <si>
    <t>রওযাতুল আদব</t>
  </si>
  <si>
    <t xml:space="preserve">হেদায়া ১ম </t>
  </si>
  <si>
    <t>মুখতাসারুল কুদুরী</t>
  </si>
  <si>
    <t>কাইফা নাতাআল্লামুল ইনশা</t>
  </si>
  <si>
    <t>গণিত ৬ষ্ঠ</t>
  </si>
  <si>
    <t xml:space="preserve">গণিত ৫ম </t>
  </si>
  <si>
    <t>গণিত ৪র্থ</t>
  </si>
  <si>
    <t>সিরাজী</t>
  </si>
  <si>
    <t xml:space="preserve">কানযুদ দাকাঈক </t>
  </si>
  <si>
    <t xml:space="preserve">নাফহাতুল আরব </t>
  </si>
  <si>
    <t>মিশকাতুল আছার ও তালিমুল মুতাআল্লিম</t>
  </si>
  <si>
    <t>মিরকাত</t>
  </si>
  <si>
    <t>তারিখে মিল্লাত</t>
  </si>
  <si>
    <t>নাফহাতুল আদব</t>
  </si>
  <si>
    <t>শরহে মিয়াতে আমেল</t>
  </si>
  <si>
    <t>কাসাসুন নাবিয়্যীন ও শরহে মিয়াতে আমেল</t>
  </si>
  <si>
    <t>গুলিস্তা</t>
  </si>
  <si>
    <t>বাংলা ও ব্যাকরণ ৬ষ্ঠ</t>
  </si>
  <si>
    <t>ইংরেজি ও গ্রামার ৬ষ্ঠ</t>
  </si>
  <si>
    <t xml:space="preserve">কুরআন শরীফ </t>
  </si>
  <si>
    <t>তাইসিরুল মুবতাদী ও ফার্সী</t>
  </si>
  <si>
    <t>উর্দু কী পেহলী</t>
  </si>
  <si>
    <t>ইংরেজি ও গ্রামার ৪র্থ</t>
  </si>
  <si>
    <t>সমাজ-ভূগোল ও ইতিহাস ৪র্থ</t>
  </si>
  <si>
    <t>আবু দাউদ ১ম ও ২য়</t>
  </si>
  <si>
    <t xml:space="preserve">সুনানে নাসাঈ ও মুয়াত্তা মালেক </t>
  </si>
  <si>
    <t>শরহে আকাইদ</t>
  </si>
  <si>
    <t>জালালাইন ৩য়</t>
  </si>
  <si>
    <t>হেদায়া ১ম</t>
  </si>
  <si>
    <t xml:space="preserve">নুরুল আনওয়ার - সুন্নাহ </t>
  </si>
  <si>
    <t>নুরুল আনওয়ার (সুন্নাহ)</t>
  </si>
  <si>
    <t>রিয়াযুস সালিহীন ও দেওয়ানে মুতানাব্বী</t>
  </si>
  <si>
    <t>আবু দাউদ ১ম</t>
  </si>
  <si>
    <t xml:space="preserve">বেহেশতি জেওর </t>
  </si>
  <si>
    <t>তালিমুল ইসলাম ৪র্থ ও ইসলামী তাহযীব</t>
  </si>
  <si>
    <t>কিতাব-৫</t>
  </si>
  <si>
    <t>কিতাব-৬</t>
  </si>
  <si>
    <t>কিতাব-৭</t>
  </si>
  <si>
    <t>বাংলা ও ব্যাকরণ ৪র্থ</t>
  </si>
  <si>
    <t xml:space="preserve">কুরআন শরীফ. </t>
  </si>
  <si>
    <t>তরজমাতুল কুরআন-</t>
  </si>
  <si>
    <t>তরজমাতুল কুরআন.</t>
  </si>
  <si>
    <t>তরজমাতুল কুরআন,</t>
  </si>
  <si>
    <t>তরজমাতুল কুরআন</t>
  </si>
  <si>
    <t xml:space="preserve">জালালাইন ১ম ও আল ফাউজুল কাবীর </t>
  </si>
  <si>
    <t>1/1</t>
  </si>
  <si>
    <t>1/2</t>
  </si>
  <si>
    <t>1/3</t>
  </si>
  <si>
    <t>1/4</t>
  </si>
  <si>
    <t>1/5</t>
  </si>
  <si>
    <t xml:space="preserve">মুসলিম ১ম </t>
  </si>
  <si>
    <t>কিতাব কোড -১</t>
  </si>
  <si>
    <t>তিরমিযি ১ম</t>
  </si>
  <si>
    <t>নাসাঈ ও মুয়াত্তা</t>
  </si>
  <si>
    <t>তাহাবী</t>
  </si>
  <si>
    <t xml:space="preserve">কুরআন </t>
  </si>
  <si>
    <t>1/6</t>
  </si>
  <si>
    <t>1/7</t>
  </si>
  <si>
    <t>1/8</t>
  </si>
  <si>
    <t>1/9</t>
  </si>
  <si>
    <t>1/10</t>
  </si>
  <si>
    <t>1/11</t>
  </si>
  <si>
    <t>বায়যাবী</t>
  </si>
  <si>
    <t>2/1</t>
  </si>
  <si>
    <t>2/2</t>
  </si>
  <si>
    <t>2/3</t>
  </si>
  <si>
    <t>2/4</t>
  </si>
  <si>
    <t>2/5</t>
  </si>
  <si>
    <t>2/6</t>
  </si>
  <si>
    <t>2/7</t>
  </si>
  <si>
    <t>2/8</t>
  </si>
  <si>
    <t xml:space="preserve">জালালাইন ১ম </t>
  </si>
  <si>
    <t xml:space="preserve">জালালাইন ২য় </t>
  </si>
  <si>
    <t xml:space="preserve">জালালাইন ৩য় </t>
  </si>
  <si>
    <t xml:space="preserve">নুরুল আনওয়ার </t>
  </si>
  <si>
    <t>রিয়া. সালিহিন ও দে. মুতানাব্বী</t>
  </si>
  <si>
    <t>2/9</t>
  </si>
  <si>
    <t>2/10</t>
  </si>
  <si>
    <t>3/1</t>
  </si>
  <si>
    <t>3/2</t>
  </si>
  <si>
    <t>3/3</t>
  </si>
  <si>
    <t>3/4</t>
  </si>
  <si>
    <t>3/5</t>
  </si>
  <si>
    <t>3/6</t>
  </si>
  <si>
    <t>3/7</t>
  </si>
  <si>
    <t xml:space="preserve">শরহে বেকায়া </t>
  </si>
  <si>
    <t>নুরুল আনওয়ার</t>
  </si>
  <si>
    <t>মাকামাতে হারিরী</t>
  </si>
  <si>
    <t>আত তরিক ইলাল ইনশা</t>
  </si>
  <si>
    <t>কানযুদ দাকাইক</t>
  </si>
  <si>
    <t>কুদুরী</t>
  </si>
  <si>
    <t>মিশকাতুল আছার</t>
  </si>
  <si>
    <t>সিরাত</t>
  </si>
  <si>
    <t>মিযান</t>
  </si>
  <si>
    <t>কারীমা</t>
  </si>
  <si>
    <t xml:space="preserve">ইংরেজি </t>
  </si>
  <si>
    <t>তাইসির</t>
  </si>
  <si>
    <t xml:space="preserve">তা. ইসলাম </t>
  </si>
  <si>
    <t>সমাজ-ভূগোল</t>
  </si>
  <si>
    <t>গণিত ৫ম</t>
  </si>
  <si>
    <t>উর্দূ পেহলি</t>
  </si>
  <si>
    <t xml:space="preserve">বাংলা </t>
  </si>
  <si>
    <t xml:space="preserve">গণিত </t>
  </si>
  <si>
    <t xml:space="preserve">সমাজ </t>
  </si>
  <si>
    <t>3/8</t>
  </si>
  <si>
    <t>3/9</t>
  </si>
  <si>
    <t>4/1</t>
  </si>
  <si>
    <t>4/2</t>
  </si>
  <si>
    <t>4/3</t>
  </si>
  <si>
    <t>4/4</t>
  </si>
  <si>
    <t>4/5</t>
  </si>
  <si>
    <t>4/6</t>
  </si>
  <si>
    <t>4/7</t>
  </si>
  <si>
    <t>4/8</t>
  </si>
  <si>
    <t>4/9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</si>
  <si>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</si>
  <si>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</si>
  <si>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</si>
  <si>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</si>
  <si>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</si>
  <si>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</si>
  <si>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</si>
  <si>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</si>
  <si>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</si>
  <si>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6/1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</si>
  <si>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</si>
  <si>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</si>
  <si>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</si>
  <si>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</si>
  <si>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</si>
  <si>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</si>
  <si>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</si>
  <si>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</si>
  <si>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</si>
  <si>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</si>
  <si>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</si>
  <si>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</si>
  <si>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</si>
  <si>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</si>
  <si>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</si>
  <si>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</si>
  <si>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</si>
  <si>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</si>
  <si>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</si>
  <si>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</si>
  <si>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</si>
  <si>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</si>
  <si>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</si>
  <si>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</si>
  <si>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</si>
  <si>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</si>
  <si>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</si>
  <si>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</si>
  <si>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</si>
  <si>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</si>
  <si>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</si>
  <si>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</si>
  <si>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</si>
  <si>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</si>
  <si>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</si>
  <si>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</si>
  <si>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>9/10</t>
  </si>
  <si>
    <t>10/1</t>
  </si>
  <si>
    <t>10/2</t>
  </si>
  <si>
    <t>10/3</t>
  </si>
  <si>
    <t>10/4</t>
  </si>
  <si>
    <t>10/5</t>
  </si>
  <si>
    <t>10/6</t>
  </si>
  <si>
    <t>10/7</t>
  </si>
  <si>
    <t>10/8</t>
  </si>
  <si>
    <t>11/1</t>
  </si>
  <si>
    <t>11/2</t>
  </si>
  <si>
    <t>11/3</t>
  </si>
  <si>
    <t>11/4</t>
  </si>
  <si>
    <t>11/5</t>
  </si>
  <si>
    <t>11/6</t>
  </si>
  <si>
    <t>11/7</t>
  </si>
  <si>
    <t>11/8</t>
  </si>
  <si>
    <t>11/9</t>
  </si>
  <si>
    <t>কিতাব কোড -২</t>
  </si>
  <si>
    <t>কিতাব কোড -৪</t>
  </si>
  <si>
    <t>কিতাব কোড -৫</t>
  </si>
  <si>
    <t>কিতাব কোড -৬</t>
  </si>
  <si>
    <t>কিতাব কোড -৭</t>
  </si>
  <si>
    <t>কিতাব কোড -৩</t>
  </si>
  <si>
    <t>কুরআন শরীফ</t>
  </si>
  <si>
    <t>নুরুল আনওয়ার - সুন্নাহ</t>
  </si>
  <si>
    <t xml:space="preserve">পদবী </t>
  </si>
  <si>
    <t>মুহতামিমে জামিয়া</t>
  </si>
  <si>
    <t>শায়খুল হাদিস</t>
  </si>
  <si>
    <t>নাযেমে তালিমাত</t>
  </si>
  <si>
    <t>নাযেমে দারুল ইকামা</t>
  </si>
  <si>
    <t>নায়েবে নাযেমে দারুল ইকামা</t>
  </si>
  <si>
    <t xml:space="preserve">হিফজ </t>
  </si>
  <si>
    <t>মকতব</t>
  </si>
  <si>
    <t>৪র্থ</t>
  </si>
  <si>
    <t>শিশু</t>
  </si>
  <si>
    <t xml:space="preserve">১ম </t>
  </si>
  <si>
    <t>২য়</t>
  </si>
  <si>
    <t>৩য়</t>
  </si>
  <si>
    <t>১৩ পারা</t>
  </si>
  <si>
    <t>১৪ পারা</t>
  </si>
  <si>
    <t>১৫ পারা</t>
  </si>
  <si>
    <t>১৬ পারা</t>
  </si>
  <si>
    <t>১৭ পারা</t>
  </si>
  <si>
    <t>২৪ পারা</t>
  </si>
  <si>
    <t xml:space="preserve">নাজেরা ক </t>
  </si>
  <si>
    <t>আবু দাউদ ২য়</t>
  </si>
  <si>
    <t xml:space="preserve">মিশকাত ৩য় </t>
  </si>
  <si>
    <t>বিভাগ</t>
  </si>
  <si>
    <t>সাবজেক্ট</t>
  </si>
  <si>
    <t>জামাত</t>
  </si>
  <si>
    <t>খতমী</t>
  </si>
  <si>
    <t xml:space="preserve">ছাত্রদের নাম </t>
  </si>
  <si>
    <t>পরীক্ষার নেসাব</t>
  </si>
  <si>
    <t>মোট</t>
  </si>
  <si>
    <t>মাসাইল</t>
  </si>
  <si>
    <t>১ম প্রশ্ন</t>
  </si>
  <si>
    <t>২য় প্রশ্ন</t>
  </si>
  <si>
    <t>৩য় প্রশ্ন</t>
  </si>
  <si>
    <t>সম্মিলিত ক্রমিক</t>
  </si>
  <si>
    <t xml:space="preserve">মাহিয়ান </t>
  </si>
  <si>
    <t>ওয়ালিউল্লাহ</t>
  </si>
  <si>
    <t>১ থেকে ১৫</t>
  </si>
  <si>
    <t>ইরতেজা হাসান</t>
  </si>
  <si>
    <t>হা. মাও. আবু হানীফ</t>
  </si>
  <si>
    <t>তাসলিম আহমদ নাবিদ</t>
  </si>
  <si>
    <t>মাও. রশিদ আহমদ খাকী</t>
  </si>
  <si>
    <t>৪ পারা</t>
  </si>
  <si>
    <t>২৭ থেকে ৩০</t>
  </si>
  <si>
    <t xml:space="preserve">শাহ নেওয়াজ </t>
  </si>
  <si>
    <t xml:space="preserve">সাখাওয়াত </t>
  </si>
  <si>
    <t xml:space="preserve">১২ পারা </t>
  </si>
  <si>
    <t>৯ থেকে ২০</t>
  </si>
  <si>
    <t>ইসহাক মিয়া</t>
  </si>
  <si>
    <t>ক্বারী ইসমাইল</t>
  </si>
  <si>
    <t>১- ১০ ও ২৪ থেকে ৩০</t>
  </si>
  <si>
    <t>সুফিয়ান মাক্কী</t>
  </si>
  <si>
    <t>মরহুম হাসান</t>
  </si>
  <si>
    <t xml:space="preserve">২১ থেকে ৩০ </t>
  </si>
  <si>
    <t xml:space="preserve">মাসুম বিল্লাহ </t>
  </si>
  <si>
    <t>মো. বাদশা মিয়া</t>
  </si>
  <si>
    <t>১, ২ ও ২১ থেকে ৩০</t>
  </si>
  <si>
    <t>আবদুল্লাহ আল মায়াজ</t>
  </si>
  <si>
    <t>মো. আবদুল হাই</t>
  </si>
  <si>
    <t>২১ থেকে ৩০</t>
  </si>
  <si>
    <t xml:space="preserve">আবদুল্লাহ </t>
  </si>
  <si>
    <t>আলী আজগর</t>
  </si>
  <si>
    <t>২ পারা</t>
  </si>
  <si>
    <t>১ ও ৩০</t>
  </si>
  <si>
    <t>তামিমুল ইহসান</t>
  </si>
  <si>
    <t>রাশেদুল ইসলাম</t>
  </si>
  <si>
    <t>১৫ থেকে ২৪</t>
  </si>
  <si>
    <t>আমিমুল ইহসান</t>
  </si>
  <si>
    <t>রাশদুল ইসলাম</t>
  </si>
  <si>
    <t>১৩ থেকে ২২</t>
  </si>
  <si>
    <t>মিনহাজ হাসান</t>
  </si>
  <si>
    <t xml:space="preserve">মো. শরিফ আহমদ </t>
  </si>
  <si>
    <t>১, ২ ও ৯ থেকে ৩০</t>
  </si>
  <si>
    <t>সুমন</t>
  </si>
  <si>
    <t>রেজাউল করিম</t>
  </si>
  <si>
    <t>১৮ থেকে ৩০</t>
  </si>
  <si>
    <t>সায়াদ খান</t>
  </si>
  <si>
    <t>মো. শাহ আলম খান</t>
  </si>
  <si>
    <t>৮ পারা</t>
  </si>
  <si>
    <t>২৩ থেকে ৩০</t>
  </si>
  <si>
    <t xml:space="preserve">আমানুল্লাহ </t>
  </si>
  <si>
    <t>আবু সুফিয়ান</t>
  </si>
  <si>
    <t>৩ পারা</t>
  </si>
  <si>
    <t>২৮ থেকে ৩০</t>
  </si>
  <si>
    <t>রাহাত হোসেন</t>
  </si>
  <si>
    <t>মো. আক্কাস উদ্দিন</t>
  </si>
  <si>
    <t>ঈসমাইল খাঁন</t>
  </si>
  <si>
    <t>মোহা. হারিস খাঁন</t>
  </si>
  <si>
    <t>২১, ২২ ও ২৫ থেকে ৩০</t>
  </si>
  <si>
    <t>মুহাম্মদ রাকিব</t>
  </si>
  <si>
    <t>মুহা. সবুজ মিয়া</t>
  </si>
  <si>
    <t>১-১০ ও ২১ - ৩০</t>
  </si>
  <si>
    <t xml:space="preserve">তামীম ইসলাম </t>
  </si>
  <si>
    <t xml:space="preserve">মুহা. রফিকুল ইসলাম </t>
  </si>
  <si>
    <t>৪ প৭রা</t>
  </si>
  <si>
    <t>১ থেকে ৩ ও ২১ থেকে ২৪</t>
  </si>
  <si>
    <t>১ পারা</t>
  </si>
  <si>
    <t>মো. সুজন</t>
  </si>
  <si>
    <t>১ থেকে ৮ ও ১৪ থেকে ১৮</t>
  </si>
  <si>
    <t>রিয়াদ হাসান</t>
  </si>
  <si>
    <t>জাহিদ হোসেন</t>
  </si>
  <si>
    <t xml:space="preserve">মুহাম্মাদ রাইয়্যান </t>
  </si>
  <si>
    <t>মো. সাইদুর রহমান</t>
  </si>
  <si>
    <t>৭ পারা</t>
  </si>
  <si>
    <t>৭ থেকে ১৩</t>
  </si>
  <si>
    <t>ইশমাম খান</t>
  </si>
  <si>
    <t>জামান খান</t>
  </si>
  <si>
    <t>৬ পারা</t>
  </si>
  <si>
    <t>২৫ থেকে ৩০</t>
  </si>
  <si>
    <t>জাকির হোসেন চৌধুরী</t>
  </si>
  <si>
    <t>৫ পারা</t>
  </si>
  <si>
    <t>২৬ থেকে ৩০</t>
  </si>
  <si>
    <t xml:space="preserve">হাবিবুর রহমান </t>
  </si>
  <si>
    <t>শুক্কুর আলী সরকার</t>
  </si>
  <si>
    <t>১ থেকে ৫ ও ২১ থেকে ২৫</t>
  </si>
  <si>
    <t xml:space="preserve">আবু বকর সিদ্দিক  </t>
  </si>
  <si>
    <t>মো. শেখ ফরিদ</t>
  </si>
  <si>
    <t>১৭থেকে ২৬</t>
  </si>
  <si>
    <t xml:space="preserve">ইয়ামিন ফাহাদ </t>
  </si>
  <si>
    <t>শাহজাহান</t>
  </si>
  <si>
    <t>তানজীম তালুকদার</t>
  </si>
  <si>
    <t>মো. আলতাফ হোসেন</t>
  </si>
  <si>
    <t>১ থেকে ৪ ও ২১ থেকে ৩০</t>
  </si>
  <si>
    <t>ফখরুদ্দিন ত্বহা</t>
  </si>
  <si>
    <t>রহমত আলী</t>
  </si>
  <si>
    <t xml:space="preserve">হুজাইফা ইসলাম </t>
  </si>
  <si>
    <t>মনিরুল ইসলাম</t>
  </si>
  <si>
    <t>১ থেকে ৬</t>
  </si>
  <si>
    <t>সাজিদুর রহমান তানভীর</t>
  </si>
  <si>
    <t>মো. সোলায়মান হাওলাদার</t>
  </si>
  <si>
    <t xml:space="preserve">১ থেকে ৩০ </t>
  </si>
  <si>
    <t>রোহান আহমাদ</t>
  </si>
  <si>
    <t>মোহা. হুমায়ুন কবির</t>
  </si>
  <si>
    <t>১৫ ও ২৪ থেকে ৩০</t>
  </si>
  <si>
    <t xml:space="preserve">মুহাম্মদ রাহাত </t>
  </si>
  <si>
    <t>মো. আবুল কাসেম</t>
  </si>
  <si>
    <t>নাজমুল হাসান</t>
  </si>
  <si>
    <t>মো. রমজান মিয়া</t>
  </si>
  <si>
    <t xml:space="preserve">আব্দুল্লাহ আল মামুন </t>
  </si>
  <si>
    <t>মো. এনায়েত করিম</t>
  </si>
  <si>
    <t>১ থেকে ৪ ও ২১ থেকে ২৪</t>
  </si>
  <si>
    <t>জালাল হক</t>
  </si>
  <si>
    <t>৯ পারা</t>
  </si>
  <si>
    <t>১ থেকে ৫ ও ১৬ থেকে ১৯</t>
  </si>
  <si>
    <t>আবদুল্লাহ আল নোমান</t>
  </si>
  <si>
    <t>মোহাম্মদ আলী সরকার</t>
  </si>
  <si>
    <t>সোহরাব</t>
  </si>
  <si>
    <t>শাহাদাত</t>
  </si>
  <si>
    <t>১ থেকে ৫ ও ১৬ থেকে ২২</t>
  </si>
  <si>
    <t>মাহদী হাসান মিরাজ</t>
  </si>
  <si>
    <t>হাসানুর রহমান</t>
  </si>
  <si>
    <t xml:space="preserve">মারুফ হুসাইন </t>
  </si>
  <si>
    <t>জসিমউদ্দিন</t>
  </si>
  <si>
    <t xml:space="preserve">মো. শাহ আলম </t>
  </si>
  <si>
    <t>সিফাত হাসান</t>
  </si>
  <si>
    <t>মুহা. নাঈম হাসান</t>
  </si>
  <si>
    <t>২৪ থেকে ৩০</t>
  </si>
  <si>
    <t>বুলবুল</t>
  </si>
  <si>
    <t xml:space="preserve">মুজাহিদুল ইসলাম </t>
  </si>
  <si>
    <t>মো. আব্দুল আলী</t>
  </si>
  <si>
    <t>১-৭ ও ১১ থেকে ১৩</t>
  </si>
  <si>
    <t>আব্দুল্লাহ মারুফ</t>
  </si>
  <si>
    <t>বদরুল ইসলাম</t>
  </si>
  <si>
    <t>১  ও ২৬ থেকে ৩০</t>
  </si>
  <si>
    <t xml:space="preserve">শরিফুল ইসলাম </t>
  </si>
  <si>
    <t>মো. রমজান আলী</t>
  </si>
  <si>
    <t>ইয়াহইয়া আহমদ জাবির</t>
  </si>
  <si>
    <t>মো. কামরুজ্জামান</t>
  </si>
  <si>
    <t>১ থেকে ৫</t>
  </si>
  <si>
    <t xml:space="preserve">রিফাত </t>
  </si>
  <si>
    <t>মুহা. দুলো মিয়া</t>
  </si>
  <si>
    <t>১ থেকে ৮</t>
  </si>
  <si>
    <t>মুহাম্মাদ সিয়াম</t>
  </si>
  <si>
    <t>মো. আনোয়ার হোসেন</t>
  </si>
  <si>
    <t>৩ থেকে ১০</t>
  </si>
  <si>
    <t>আল ইমরান</t>
  </si>
  <si>
    <t>আমিনুর রহমান</t>
  </si>
  <si>
    <t xml:space="preserve">যোহায়রুল হক </t>
  </si>
  <si>
    <t>এস এম এহছানুল হক</t>
  </si>
  <si>
    <t>হাবিবুল্লাহ</t>
  </si>
  <si>
    <t>কাশেম বেপারী</t>
  </si>
  <si>
    <t>২১-২৩ ও ১-৫</t>
  </si>
  <si>
    <t>আবদুল্লাহ সাঈফী</t>
  </si>
  <si>
    <t>মোহাম্মদ সোহেল রানা</t>
  </si>
  <si>
    <t xml:space="preserve">ইয়াসিন </t>
  </si>
  <si>
    <t xml:space="preserve">ইউসুফ </t>
  </si>
  <si>
    <t>শামিম হোসেন</t>
  </si>
  <si>
    <t>মো. শাফায়েত</t>
  </si>
  <si>
    <t>আবু সাঈদ</t>
  </si>
  <si>
    <t>১৫ থেকে ৩০</t>
  </si>
  <si>
    <t>মিরাজ বিন মোস্তফা</t>
  </si>
  <si>
    <t>মোস্তফা কামাল</t>
  </si>
  <si>
    <t>মুহিব্বুল্লাহ সাদ</t>
  </si>
  <si>
    <t>এম এ মামুন</t>
  </si>
  <si>
    <t>মাহিরুল ইসলাম হামিম</t>
  </si>
  <si>
    <t>মো. মনিরুজ্জামান</t>
  </si>
  <si>
    <t xml:space="preserve">মুহাম্মদ ফাহিম </t>
  </si>
  <si>
    <t>মাও. সজিব মিয়া</t>
  </si>
  <si>
    <t>১৩ থেকে ১৮</t>
  </si>
  <si>
    <t>সাইদী ইসলাম</t>
  </si>
  <si>
    <t>মো. রজব আলী</t>
  </si>
  <si>
    <t xml:space="preserve">১ থেকে ১০ </t>
  </si>
  <si>
    <t>আ. রশিদ</t>
  </si>
  <si>
    <t>২৯ -৩০ ও ২৮ নং পারার ১০ পৃ.</t>
  </si>
  <si>
    <t>নিজাম উদ্দিন</t>
  </si>
  <si>
    <t>মো. শাহাব উদ্দিন</t>
  </si>
  <si>
    <t xml:space="preserve">রহমতুল্লাহ </t>
  </si>
  <si>
    <t>মুহা. রবিউল ইসলাম</t>
  </si>
  <si>
    <t>১১ পারা</t>
  </si>
  <si>
    <t>২৪ থেকে ৩০ ও ১ থেকে ৪</t>
  </si>
  <si>
    <t>জুনায়েদ খান আরাফ</t>
  </si>
  <si>
    <t>নাসির উদ্দিন</t>
  </si>
  <si>
    <t>মো. আশরাফ</t>
  </si>
  <si>
    <t>৮ - ১১ ও ২১ থেকে ২৩</t>
  </si>
  <si>
    <t>রাকিবুল ইসলাম</t>
  </si>
  <si>
    <t>মো. ইমদাদুল শেখ</t>
  </si>
  <si>
    <t xml:space="preserve">মুহাম্মদ তামিম </t>
  </si>
  <si>
    <t>মুহা. মাহবুব আলম</t>
  </si>
  <si>
    <t>২৯ থেকে ৩০</t>
  </si>
  <si>
    <t>আবু বকর</t>
  </si>
  <si>
    <t>১৬ থেকে ২১</t>
  </si>
  <si>
    <t>আবদুল হাসিব</t>
  </si>
  <si>
    <t>মো. জমির উদ্দিন</t>
  </si>
  <si>
    <t>সাকিব আল হাসান</t>
  </si>
  <si>
    <t>মো. আবু সাঈদ</t>
  </si>
  <si>
    <t>১ থেকে ৫ ও ২১ থেকে ৩০</t>
  </si>
  <si>
    <t xml:space="preserve">মাহফুজুল ইসলাম মোরশেদ </t>
  </si>
  <si>
    <t xml:space="preserve">শেখ আহমদ </t>
  </si>
  <si>
    <t>সাহিদ হাসান</t>
  </si>
  <si>
    <t>মো. ছোলাইমান</t>
  </si>
  <si>
    <t>২১ - ২৪ ও ২৬ - ৩০</t>
  </si>
  <si>
    <t>মুহাম্মাদ তাহসিন</t>
  </si>
  <si>
    <t xml:space="preserve">মো. রফিকুল </t>
  </si>
  <si>
    <t>জুবায়ের আহমদ</t>
  </si>
  <si>
    <t>মো. জাহাঙ্গীর আলম</t>
  </si>
  <si>
    <t>মুজাহিদুল ইসলাম</t>
  </si>
  <si>
    <t>জালাল মিয়া</t>
  </si>
  <si>
    <t>নুর নবী</t>
  </si>
  <si>
    <t>নুরুল ইসলাম</t>
  </si>
  <si>
    <t xml:space="preserve">মাহীম </t>
  </si>
  <si>
    <t>শওকত মোল্লা</t>
  </si>
  <si>
    <t>আরাফাত রহমান আকিব</t>
  </si>
  <si>
    <t>আজিজুর রহমান</t>
  </si>
  <si>
    <t>২৬ ও ২৮ থেকে ৩০</t>
  </si>
  <si>
    <t>হামীম হোসাইন</t>
  </si>
  <si>
    <t xml:space="preserve">আব্দুল হাকীম মন্ডল </t>
  </si>
  <si>
    <t xml:space="preserve">১৬ থেকে ২৫ </t>
  </si>
  <si>
    <t>মাহিম মোল্লা</t>
  </si>
  <si>
    <t>মো. জাহিদ মোল্লা</t>
  </si>
  <si>
    <t>হুসাইন রাফি</t>
  </si>
  <si>
    <t>১ থেকে ১০</t>
  </si>
  <si>
    <t>জামিল হাসান</t>
  </si>
  <si>
    <t>ফরিদ খন্দকার</t>
  </si>
  <si>
    <t>মো. রুবেল ইসলাম</t>
  </si>
  <si>
    <t>আব্দুল্লাহ আল কাফী</t>
  </si>
  <si>
    <t>মো. আব্বাস আলী</t>
  </si>
  <si>
    <t>১৬ থেকে ২০</t>
  </si>
  <si>
    <t>মাকসুদুল হাসান</t>
  </si>
  <si>
    <t>মাসুদ রানা</t>
  </si>
  <si>
    <t>২১ থেকে ২৬</t>
  </si>
  <si>
    <t xml:space="preserve">মুজাহিদ ইসলাম </t>
  </si>
  <si>
    <t xml:space="preserve">মো. আবু সাঈদ </t>
  </si>
  <si>
    <t>আবু বকর সিদ্দিক</t>
  </si>
  <si>
    <t>মুহা. হানিফ</t>
  </si>
  <si>
    <t>২২,২৩ ও ২৭ থেকে ৩০</t>
  </si>
  <si>
    <t xml:space="preserve">আফফান </t>
  </si>
  <si>
    <t>মাও. হারুনুর রশীদ</t>
  </si>
  <si>
    <t>আব্দুর রহিম</t>
  </si>
  <si>
    <t>জাহাঙ্গীর হোসেন</t>
  </si>
  <si>
    <t>মো. শাহজাহান</t>
  </si>
  <si>
    <t>তাহের মিয়া</t>
  </si>
  <si>
    <t>আব্দুল ওয়াহহাব</t>
  </si>
  <si>
    <t xml:space="preserve">ফয়সাল আহমদ </t>
  </si>
  <si>
    <t>মুহা. দানিশ মিয়া</t>
  </si>
  <si>
    <t>১১ - ১৩ ও ২১ - ৩০</t>
  </si>
  <si>
    <t xml:space="preserve">মিশকাত </t>
  </si>
  <si>
    <t>মো. আবুল খায়ের</t>
  </si>
  <si>
    <t>১ - ৯ ও ১১ - ১৪</t>
  </si>
  <si>
    <t>মুহা. বাবুল মুনশী</t>
  </si>
  <si>
    <t xml:space="preserve">ছামিউল ইসলাম </t>
  </si>
  <si>
    <t>মো. ইউসুফ আলী</t>
  </si>
  <si>
    <t>মিজানুর রহমান</t>
  </si>
  <si>
    <t xml:space="preserve">তাওহিদুল ইসলাম </t>
  </si>
  <si>
    <t>আক্তার হোসেন</t>
  </si>
  <si>
    <t>কুরআন মোট</t>
  </si>
  <si>
    <t>কুরআন গড়</t>
  </si>
  <si>
    <t>তাজবিদ গড়</t>
  </si>
  <si>
    <t>মাসাইল গড়</t>
  </si>
  <si>
    <t>১</t>
  </si>
  <si>
    <t>২</t>
  </si>
  <si>
    <t>৩</t>
  </si>
  <si>
    <t>৪</t>
  </si>
  <si>
    <t>৫</t>
  </si>
  <si>
    <t>৬</t>
  </si>
  <si>
    <t>৭</t>
  </si>
  <si>
    <t>জিকরুল্লাহ নাহিদ</t>
  </si>
  <si>
    <t>এনামুল হক</t>
  </si>
  <si>
    <t>আফিফ হামজা</t>
  </si>
  <si>
    <t>আমির হামজা</t>
  </si>
  <si>
    <t>রাকিবুল হাসান</t>
  </si>
  <si>
    <t>আবদুল খালেক</t>
  </si>
  <si>
    <t xml:space="preserve">জুনায়েদ </t>
  </si>
  <si>
    <t>শাহ আলম গাজী</t>
  </si>
  <si>
    <t>রিফাত মোল্লা</t>
  </si>
  <si>
    <t>দেলোয়ার মোল্লা</t>
  </si>
  <si>
    <t>আরিয়ান</t>
  </si>
  <si>
    <t>আরিফ খান</t>
  </si>
  <si>
    <t>সাব্বির আহমেদ</t>
  </si>
  <si>
    <t xml:space="preserve">ইয়াসির আরাফ </t>
  </si>
  <si>
    <t>সারোয়ার আলম</t>
  </si>
  <si>
    <t>শাহিন মিয়া</t>
  </si>
  <si>
    <t>তাহসিন মোল্লা</t>
  </si>
  <si>
    <t>মোবারক মোল্লা</t>
  </si>
  <si>
    <t>আজিজুল মোল্লা</t>
  </si>
  <si>
    <t>আবদুর রাজ্জাক মোল্লা</t>
  </si>
  <si>
    <t>সাইফুল ইসলাম মোস্তাকিম</t>
  </si>
  <si>
    <t>মুন্না তালুকদার</t>
  </si>
  <si>
    <t>ইসমাঈল</t>
  </si>
  <si>
    <t>নুর আলম</t>
  </si>
  <si>
    <t>ইয়ামিন মোল্লা</t>
  </si>
  <si>
    <t xml:space="preserve">সাজিদুল ইসলাম </t>
  </si>
  <si>
    <t xml:space="preserve">মফিজুল ইসলাম </t>
  </si>
  <si>
    <t>আবু মুসা সাইফ</t>
  </si>
  <si>
    <t>একরাম হোসেন</t>
  </si>
  <si>
    <t>আরিফুল ইসলাম সিফাত</t>
  </si>
  <si>
    <t>হাবিবুর রহমান</t>
  </si>
  <si>
    <t>রায়হানুজ্জামান ত্বহা</t>
  </si>
  <si>
    <t>সাইদুজ্জামান সুজন</t>
  </si>
  <si>
    <t xml:space="preserve">মুজাহিদ </t>
  </si>
  <si>
    <t>গোলাম রহমান</t>
  </si>
  <si>
    <t>রাউফুর রহমান</t>
  </si>
  <si>
    <t>আরিফ হোসেন</t>
  </si>
  <si>
    <t>ইয়াকুব আলী</t>
  </si>
  <si>
    <t xml:space="preserve">সিরাজুল ইসলাম </t>
  </si>
  <si>
    <t>মাসুম</t>
  </si>
  <si>
    <t xml:space="preserve">রাসেল </t>
  </si>
  <si>
    <t>লোকমান</t>
  </si>
  <si>
    <t>নজরুল ইসলাম</t>
  </si>
  <si>
    <t>মঈন উদ্দিন বায়জিদ</t>
  </si>
  <si>
    <t>শাহাবুদ্দিন</t>
  </si>
  <si>
    <t>আক্কাস খান</t>
  </si>
  <si>
    <t>সোহেল</t>
  </si>
  <si>
    <t xml:space="preserve">সামিউল ইসলাম </t>
  </si>
  <si>
    <t>মুক্তারুজ্জামান</t>
  </si>
  <si>
    <t>হুজাইফা</t>
  </si>
  <si>
    <t>জহিরুল ইসলাম</t>
  </si>
  <si>
    <t>শরিফুল ইসলাম</t>
  </si>
  <si>
    <t>ইমরান গাজী</t>
  </si>
  <si>
    <t>আবদুল্লাহ মুহাম্মদ আবিদ</t>
  </si>
  <si>
    <t>মো. ইউনুস</t>
  </si>
  <si>
    <t>আনোয়ার</t>
  </si>
  <si>
    <t>হাসান</t>
  </si>
  <si>
    <t>মেহজাব তাহমিদ</t>
  </si>
  <si>
    <t>আবুল হাসান</t>
  </si>
  <si>
    <t>ফারহান তাহমিদ</t>
  </si>
  <si>
    <t>ওমর ফারুক মিয়াজী</t>
  </si>
  <si>
    <t>তাসকিন আহমাদ</t>
  </si>
  <si>
    <t>হাফিজুর রহমান</t>
  </si>
  <si>
    <t>ইসহাক</t>
  </si>
  <si>
    <t>আবদুল হাই</t>
  </si>
  <si>
    <t>সুজন</t>
  </si>
  <si>
    <t>আবদুল আলীম</t>
  </si>
  <si>
    <t>উজ্জল</t>
  </si>
  <si>
    <t>আবদুল্লাহ মুয়াজ</t>
  </si>
  <si>
    <t>শামীম হোসেন</t>
  </si>
  <si>
    <t>আনাস হোসেন</t>
  </si>
  <si>
    <t>আবদুল জলিল</t>
  </si>
  <si>
    <t>নাসির মাঝি</t>
  </si>
  <si>
    <t>রাহাত</t>
  </si>
  <si>
    <t>হেলাল</t>
  </si>
  <si>
    <t>হাসান আহমাদ সাইফুল্লাহ</t>
  </si>
  <si>
    <t>মাও. শরিফ মাহবুব</t>
  </si>
  <si>
    <t>আরাফাত হোসেন</t>
  </si>
  <si>
    <t>রুবেল হোসেন</t>
  </si>
  <si>
    <t>আলিফ মাহমুদ</t>
  </si>
  <si>
    <t>মাহবুবুর রহমান</t>
  </si>
  <si>
    <t>জুয়েল</t>
  </si>
  <si>
    <t xml:space="preserve">রবিউল ইসলাম </t>
  </si>
  <si>
    <t xml:space="preserve">খোরশেদ আলম </t>
  </si>
  <si>
    <t xml:space="preserve">আবুল কালাম </t>
  </si>
  <si>
    <t xml:space="preserve">শাহাদাত </t>
  </si>
  <si>
    <t>আতিকুর রহমান</t>
  </si>
  <si>
    <t xml:space="preserve">জাহাঙ্গীর </t>
  </si>
  <si>
    <t>রাব্বি কাউসার</t>
  </si>
  <si>
    <t xml:space="preserve">শহিদুল ইসলাম </t>
  </si>
  <si>
    <t>সাকিবুল হাসান</t>
  </si>
  <si>
    <t>আরাফাত রহমান</t>
  </si>
  <si>
    <t>আবদুর রহমান</t>
  </si>
  <si>
    <t>আবদুস সাত্তার</t>
  </si>
  <si>
    <t>মুহাম্মদ মুসা</t>
  </si>
  <si>
    <t>মুজাম্মেল</t>
  </si>
  <si>
    <t>আবদুর রহমান ওমায়ের</t>
  </si>
  <si>
    <t>মাও. ইউনুস আহমাদ</t>
  </si>
  <si>
    <t>শাহাদাত হোসাইন</t>
  </si>
  <si>
    <t>ইসহাক খাঁন</t>
  </si>
  <si>
    <t>ইনসান কাজী</t>
  </si>
  <si>
    <t>আল আমিন কাজী</t>
  </si>
  <si>
    <t>আমীর উদ্দিন রাফী</t>
  </si>
  <si>
    <t>শেখ রিয়াজ উদ্দিন</t>
  </si>
  <si>
    <t>আবদুল্লাহ আল কাফি</t>
  </si>
  <si>
    <t>আব্দুল হাকিম</t>
  </si>
  <si>
    <t>শাহিন</t>
  </si>
  <si>
    <t>ইবরাহিম খলিলুল্লাহ</t>
  </si>
  <si>
    <t>মাও. মুফীজুর রহমান</t>
  </si>
  <si>
    <t>ইউসুফ ওয়ালী উল্লাহ</t>
  </si>
  <si>
    <t>আসাদুল্লাহ আল গালিব</t>
  </si>
  <si>
    <t>মিরাজ হাওলাদার</t>
  </si>
  <si>
    <t>নবীর খান</t>
  </si>
  <si>
    <t>ইসমাঈল খান</t>
  </si>
  <si>
    <t>তানভীর আহমাদ</t>
  </si>
  <si>
    <t>বিল্লাহ হোসেন</t>
  </si>
  <si>
    <t>আবদুল্লাহ সাফওয়ান</t>
  </si>
  <si>
    <t>একেএম আতাউর রহমান</t>
  </si>
  <si>
    <t>মাইনুদ্দিন হাওলাদার</t>
  </si>
  <si>
    <t xml:space="preserve">জিসান ইসলাম </t>
  </si>
  <si>
    <t xml:space="preserve">জহিরুল ইসলাম </t>
  </si>
  <si>
    <t>আলসিন</t>
  </si>
  <si>
    <t>আবু তাহের</t>
  </si>
  <si>
    <t>আইনুল হাসান</t>
  </si>
  <si>
    <t>বিল্লাj হোসেন</t>
  </si>
  <si>
    <t>আহনাফ মুত্তাকীন</t>
  </si>
  <si>
    <t>নাহিদুজ্জামান</t>
  </si>
  <si>
    <t>রিয়ান মোল্লা</t>
  </si>
  <si>
    <t>রিপন মোল্লা</t>
  </si>
  <si>
    <t>আমানুল্লাহ</t>
  </si>
  <si>
    <t>আবু মুসা</t>
  </si>
  <si>
    <t>উবায়দুল্লাহ</t>
  </si>
  <si>
    <t xml:space="preserve">হাফিজুল ইসলাম </t>
  </si>
  <si>
    <t>আবু হুরায়রা</t>
  </si>
  <si>
    <t>জামাল উদ্দিন</t>
  </si>
  <si>
    <t>মাসুদ মিয়া</t>
  </si>
  <si>
    <t>কবির হোসেন</t>
  </si>
  <si>
    <t>মুসতাকিম</t>
  </si>
  <si>
    <t>আবদুল্লাহ আল নূর</t>
  </si>
  <si>
    <t xml:space="preserve">রবিউল </t>
  </si>
  <si>
    <t>নাজির হাসান</t>
  </si>
  <si>
    <t>সালমান</t>
  </si>
  <si>
    <t>রুবেল মিয়া</t>
  </si>
  <si>
    <t>আরমান</t>
  </si>
  <si>
    <t>মুস্তাফিজুর রহমান</t>
  </si>
  <si>
    <t xml:space="preserve">রাশেদুল ইসলাম </t>
  </si>
  <si>
    <t>জসিম উদ্দিন</t>
  </si>
  <si>
    <t>মিনহাজ</t>
  </si>
  <si>
    <t xml:space="preserve">অমেদুল ইসলাম </t>
  </si>
  <si>
    <t>রিপন</t>
  </si>
  <si>
    <t>ওলিউর রহমান</t>
  </si>
  <si>
    <t>মাহতাব</t>
  </si>
  <si>
    <t>মেহরাব হোসেন আয়ান</t>
  </si>
  <si>
    <t>কামরুল হাসান মানিক</t>
  </si>
  <si>
    <t xml:space="preserve">ফারুক </t>
  </si>
  <si>
    <t>ওমর ফারুক</t>
  </si>
  <si>
    <t>জাইফ আবদুল্লাহ</t>
  </si>
  <si>
    <t>তরিকুল ইসলাম</t>
  </si>
  <si>
    <t>হাসানুল্লাহ সুমন</t>
  </si>
  <si>
    <t>আবু হামজা</t>
  </si>
  <si>
    <t>জয়নুল আবেদীন</t>
  </si>
  <si>
    <t>আবু ইউসুফ</t>
  </si>
  <si>
    <t>ইয়াসিন আরাফাত</t>
  </si>
  <si>
    <t>শফিকুল ইসলাম</t>
  </si>
  <si>
    <t xml:space="preserve">মো. কামাল </t>
  </si>
  <si>
    <t>মো. বাবু</t>
  </si>
  <si>
    <t>মাহদী হাসান</t>
  </si>
  <si>
    <t>মো. মামুন</t>
  </si>
  <si>
    <t>ইয়াসিন</t>
  </si>
  <si>
    <t>রফিকুল ইসলাম</t>
  </si>
  <si>
    <t xml:space="preserve">সাফওয়ান ইসলাম </t>
  </si>
  <si>
    <t>সাইফুল ইসলাম</t>
  </si>
  <si>
    <t xml:space="preserve">ফয়যুল্লাহ </t>
  </si>
  <si>
    <t>হাফেজ আবু নাসের</t>
  </si>
  <si>
    <t xml:space="preserve">তাসবীত </t>
  </si>
  <si>
    <t>শাকিল হোসেন</t>
  </si>
  <si>
    <t>নাহিয়ান</t>
  </si>
  <si>
    <t>আবু রায়হান</t>
  </si>
  <si>
    <t>আলমগীর</t>
  </si>
  <si>
    <t>নুর হুসাইন</t>
  </si>
  <si>
    <t>রাফিন শিকদার</t>
  </si>
  <si>
    <t>আনওয়ার শিকদার</t>
  </si>
  <si>
    <t>আবু হুরায়রা সামি</t>
  </si>
  <si>
    <t>হেলাল হাসান</t>
  </si>
  <si>
    <t>শরীফুল ইসলাম</t>
  </si>
  <si>
    <t>৩য় শ্রেণি</t>
  </si>
  <si>
    <t>রমজান আলী</t>
  </si>
  <si>
    <t xml:space="preserve">†gv. `yjvj wgqv </t>
  </si>
  <si>
    <t>আবু আইয়ুব আনছারী</t>
  </si>
  <si>
    <t xml:space="preserve">†gv. Av. nvwg` </t>
  </si>
  <si>
    <t xml:space="preserve">আল মাহমুদ </t>
  </si>
  <si>
    <t xml:space="preserve">Avjg wgqv </t>
  </si>
  <si>
    <t>মুশতাক আহমাদ</t>
  </si>
  <si>
    <t>ইসমাঈল মোল্লা</t>
  </si>
  <si>
    <t>ইমরান হুসাইন</t>
  </si>
  <si>
    <t xml:space="preserve">†gv. Beivwng </t>
  </si>
  <si>
    <t>মুহাম্মাদ শাহপরান</t>
  </si>
  <si>
    <t>সাখাওয়াত হোসেন</t>
  </si>
  <si>
    <t>শাহাদাত হুসাইন</t>
  </si>
  <si>
    <t xml:space="preserve">†gv. Av. AvDqvj </t>
  </si>
  <si>
    <t>রাকিউল্লাহ</t>
  </si>
  <si>
    <t xml:space="preserve">Avjx Avng` Lvb </t>
  </si>
  <si>
    <t>হেলাল উদ্দিন</t>
  </si>
  <si>
    <t xml:space="preserve">†gv. QvbvDj </t>
  </si>
  <si>
    <t>মুহাম্মাদ রুহুল্লাহ</t>
  </si>
  <si>
    <t xml:space="preserve">†gv. nviæb nvIjv`vi </t>
  </si>
  <si>
    <t>মাহফুজুর রহমান</t>
  </si>
  <si>
    <t xml:space="preserve">giûg dRjyi ingvb </t>
  </si>
  <si>
    <t>আবু হুজাইফা</t>
  </si>
  <si>
    <t xml:space="preserve">KvRx †dviKvb nvgx` </t>
  </si>
  <si>
    <t>শাহ আলম</t>
  </si>
  <si>
    <t>গোলাম মোস্তফা</t>
  </si>
  <si>
    <t xml:space="preserve">Avãyj gwR` </t>
  </si>
  <si>
    <t>ওলিউল্লাহ</t>
  </si>
  <si>
    <t xml:space="preserve">gydwZ †iRvDj Kwig </t>
  </si>
  <si>
    <t>আবদুল্লাহ শেখ</t>
  </si>
  <si>
    <t xml:space="preserve">†gv. `yjvj †nv‡mb </t>
  </si>
  <si>
    <t xml:space="preserve">আহমাদুল্লাহ </t>
  </si>
  <si>
    <t>কামাল হুসাইন</t>
  </si>
  <si>
    <t>gy¯Ídv †gvjøv</t>
  </si>
  <si>
    <t>সাকিব আল ইসলাম</t>
  </si>
  <si>
    <t xml:space="preserve">gynv. Rvnv½xi Avjg </t>
  </si>
  <si>
    <t xml:space="preserve">আশরাফুল ইসলাম </t>
  </si>
  <si>
    <t xml:space="preserve">g„Z Av. Avjx </t>
  </si>
  <si>
    <t xml:space="preserve">Av. Avwjg </t>
  </si>
  <si>
    <t xml:space="preserve">ইয়াছিন মোল্লা </t>
  </si>
  <si>
    <t xml:space="preserve">gynv. BDmyd Avjx </t>
  </si>
  <si>
    <t>আবু হুরাইরা</t>
  </si>
  <si>
    <t xml:space="preserve">†mvnvM wgqv </t>
  </si>
  <si>
    <t>মুহাম্মাদ উসামা</t>
  </si>
  <si>
    <t xml:space="preserve">nv. †gv. byiæj Bmjvg </t>
  </si>
  <si>
    <t>আশিকুর রহমান</t>
  </si>
  <si>
    <t xml:space="preserve">wReiæ †kL </t>
  </si>
  <si>
    <t>ইবরাহিম খলিল</t>
  </si>
  <si>
    <t xml:space="preserve">†gv. wRqviæj Bmjvg </t>
  </si>
  <si>
    <t>জাহিদ হাসান</t>
  </si>
  <si>
    <t xml:space="preserve">gynv. byiæj Bmjvg </t>
  </si>
  <si>
    <t xml:space="preserve">হাসিবুল ইসলাম </t>
  </si>
  <si>
    <t xml:space="preserve">gynv. Avãyj KzÏym </t>
  </si>
  <si>
    <t>মাসউদুর রহমান</t>
  </si>
  <si>
    <t>gynv. ev‡qwR` MvRx</t>
  </si>
  <si>
    <t>আবদুল ওয়াহিদ মিয়া</t>
  </si>
  <si>
    <t>১ম শ্রেণি</t>
  </si>
  <si>
    <t>শিশু শ্রেণি</t>
  </si>
  <si>
    <t>নাজেরা ক</t>
  </si>
  <si>
    <t>৪র্থ শ্রেণি</t>
  </si>
  <si>
    <t>২য় শ্রেণি</t>
  </si>
  <si>
    <t xml:space="preserve">১ম শ্রেণি </t>
  </si>
  <si>
    <t>নাজেরা/আম্মাপারা/কায়দা</t>
  </si>
  <si>
    <t>তাকমিল</t>
  </si>
  <si>
    <t>ফযিলত সানিয়া</t>
  </si>
  <si>
    <t>ফযিলত উলা</t>
  </si>
  <si>
    <t>সানাবিয়া উলয়া</t>
  </si>
  <si>
    <t>সানাবিয়া উলয়া উলা</t>
  </si>
  <si>
    <t>সানাবিয়া আম্মা</t>
  </si>
  <si>
    <t>মুতাওয়াসসিতা সালিসা</t>
  </si>
  <si>
    <t>মুতাওয়াসসিতা সানিয়া</t>
  </si>
  <si>
    <t>মুতাওয়াসসিতা উলা</t>
  </si>
  <si>
    <t>ইবতিদাইয়া</t>
  </si>
  <si>
    <t>এদাদিযা</t>
  </si>
  <si>
    <t>মুমতাজ</t>
  </si>
  <si>
    <t>জায়্যিদ জিদ্দান</t>
  </si>
  <si>
    <t>জায়্যিদ</t>
  </si>
  <si>
    <t xml:space="preserve">মাকবুল </t>
  </si>
  <si>
    <t>এমদাদী নম্বর</t>
  </si>
  <si>
    <t>কুরআনে ৮০ সহ মোট ১৬০</t>
  </si>
  <si>
    <t>কুরআনে ৭০ সহ মোট ১৪০</t>
  </si>
  <si>
    <t>কুরআনে ৬০ সহ মোট ১২০</t>
  </si>
  <si>
    <t>কুরআনে ৫০ সহ মোট ১০০</t>
  </si>
  <si>
    <t>বিভাগ/জামাত</t>
  </si>
  <si>
    <t xml:space="preserve"> </t>
  </si>
  <si>
    <t>জিহাদুল ইসলাম</t>
  </si>
  <si>
    <t xml:space="preserve">giûg iweDj Avjg </t>
  </si>
  <si>
    <t>ফুয়াদ হাসান</t>
  </si>
  <si>
    <t xml:space="preserve">Pvub wgqv </t>
  </si>
  <si>
    <t>রবিউল হাসান</t>
  </si>
  <si>
    <t xml:space="preserve">†gv. eveyj nvIjv`vi </t>
  </si>
  <si>
    <t>মাহিদ হাসান</t>
  </si>
  <si>
    <t xml:space="preserve">†gv. iwdK </t>
  </si>
  <si>
    <t>আবু তালহা</t>
  </si>
  <si>
    <t xml:space="preserve">†gv. Rvnv½xi Avjg </t>
  </si>
  <si>
    <t>কাজী কামরুল ইসলাম</t>
  </si>
  <si>
    <t xml:space="preserve">KvRx gvRnviæj Bmjvg </t>
  </si>
  <si>
    <t>গোলাম রাব্বি</t>
  </si>
  <si>
    <t xml:space="preserve">Av. gv‡jK </t>
  </si>
  <si>
    <t xml:space="preserve">জাহিদুল ইসলাম তানভীর </t>
  </si>
  <si>
    <t xml:space="preserve"> †gvK‡jQzi ingvb </t>
  </si>
  <si>
    <t>নিহাদ হাসান</t>
  </si>
  <si>
    <t>†gv. myRb</t>
  </si>
  <si>
    <t xml:space="preserve">wgjb </t>
  </si>
  <si>
    <t>মুহাম্মাদ সাকিব</t>
  </si>
  <si>
    <t xml:space="preserve">†gv. ZvBRywÏb </t>
  </si>
  <si>
    <t>আরাফাত</t>
  </si>
  <si>
    <t xml:space="preserve">mvjvnDwÏb </t>
  </si>
  <si>
    <t xml:space="preserve">AvjgMxi </t>
  </si>
  <si>
    <t>ফারহান আহমাদ জুনায়েদ</t>
  </si>
  <si>
    <t xml:space="preserve">†gv. gy³vi †nv‡mb </t>
  </si>
  <si>
    <t>আবদুল্লাহ গালিব</t>
  </si>
  <si>
    <t xml:space="preserve">†gv. †gvRv‡Ï` Rvgvb </t>
  </si>
  <si>
    <t xml:space="preserve">শরিফুল ইসলাম সোহান </t>
  </si>
  <si>
    <t xml:space="preserve">gynv.kvnxb </t>
  </si>
  <si>
    <t xml:space="preserve">আরিফুল ইসলাম </t>
  </si>
  <si>
    <t xml:space="preserve">†gv. Qvwg`yj Bmjvg </t>
  </si>
  <si>
    <t>মুহাম্মাদুল্লাহ</t>
  </si>
  <si>
    <t xml:space="preserve">†gv. Avmjvg nvIjv`vi </t>
  </si>
  <si>
    <t xml:space="preserve">সিফাত আবদুল্লাহ </t>
  </si>
  <si>
    <t>Avãyj Rwjj</t>
  </si>
  <si>
    <t>সাদ আহমাদ বিন আবু সাইদ</t>
  </si>
  <si>
    <t xml:space="preserve">gvIjvbv Avey mvB` </t>
  </si>
  <si>
    <t xml:space="preserve">†gv. †gvRv‡¤§j nK </t>
  </si>
  <si>
    <t xml:space="preserve">†gv. AvgRv` †nv‡mb </t>
  </si>
  <si>
    <t>আবদুল্লাহ বিন ইমাম আলী</t>
  </si>
  <si>
    <t xml:space="preserve">Bgvg Avjx </t>
  </si>
  <si>
    <t>মুহাম্মাদ রেদওয়ান</t>
  </si>
  <si>
    <t xml:space="preserve">†gv. wiqvR Aviwdb </t>
  </si>
  <si>
    <t xml:space="preserve">†gv. iwdKzj Bmjvg </t>
  </si>
  <si>
    <t xml:space="preserve">জুবায়ের আহমাদ </t>
  </si>
  <si>
    <t xml:space="preserve">†gv. AvBbyj nK </t>
  </si>
  <si>
    <t>ইমরান হাবিব</t>
  </si>
  <si>
    <t xml:space="preserve">KvRx gwnDwÏb </t>
  </si>
  <si>
    <t>মুহাম্মাদ মুস্তাকিম</t>
  </si>
  <si>
    <t xml:space="preserve"> †gvnv¤§` Avãyj Rwjj </t>
  </si>
  <si>
    <t>সিয়াম</t>
  </si>
  <si>
    <t xml:space="preserve">†gv. Av. †mvenvb </t>
  </si>
  <si>
    <t>সাদ আহমাদ লাবীব</t>
  </si>
  <si>
    <t xml:space="preserve">gvIjvbv mv‡`K Avngv` </t>
  </si>
  <si>
    <t>সিফাত আহমদ</t>
  </si>
  <si>
    <t xml:space="preserve">¯^cb wgqv </t>
  </si>
  <si>
    <t>gvI.†gv. AvKivg †nvmvBb</t>
  </si>
  <si>
    <t xml:space="preserve">জাহিদুল ইসলাম </t>
  </si>
  <si>
    <t>cPy Lvu</t>
  </si>
  <si>
    <t>আবদুল্লাহ আলম জিসান</t>
  </si>
  <si>
    <t xml:space="preserve">†gv. kvn Avjg </t>
  </si>
  <si>
    <t xml:space="preserve">Avãyj nvwjg </t>
  </si>
  <si>
    <t>ফাহিম শাহরিয়া</t>
  </si>
  <si>
    <t xml:space="preserve">Avkivdzj Bmjvg </t>
  </si>
  <si>
    <t xml:space="preserve">খালেদ সাইফুল্লাহ </t>
  </si>
  <si>
    <t xml:space="preserve">†gv. igRvb Avjx </t>
  </si>
  <si>
    <t xml:space="preserve">তাওফিক জুবায়ের </t>
  </si>
  <si>
    <t xml:space="preserve">gynv¤§` BmgvCj ûmvBb </t>
  </si>
  <si>
    <t>আবদুল্লাহ মিলন</t>
  </si>
  <si>
    <t xml:space="preserve">gynv. bRiæj Bmjvg </t>
  </si>
  <si>
    <t>শুয়াইব আফতাব</t>
  </si>
  <si>
    <t xml:space="preserve">†gv. †njvj †nv‡mb AvdZve </t>
  </si>
  <si>
    <t>আবদুল্লাহ আল মাশরাফি</t>
  </si>
  <si>
    <t xml:space="preserve">kvnxb DwÏb </t>
  </si>
  <si>
    <t>আবু উমায়ের</t>
  </si>
  <si>
    <t xml:space="preserve">†gv. wicb †kL </t>
  </si>
  <si>
    <t>মুহাম্মাদ মোস্তফা</t>
  </si>
  <si>
    <t xml:space="preserve">†gv. Igi Avjx </t>
  </si>
  <si>
    <t>আবু আনসার</t>
  </si>
  <si>
    <t xml:space="preserve">†gv. kvgmyj Bmjvg </t>
  </si>
  <si>
    <t>ফাহিম হোসাইন</t>
  </si>
  <si>
    <t>মো. জুয়েল মোল্লা</t>
  </si>
  <si>
    <t>আসিম</t>
  </si>
  <si>
    <t>মাওলানা শামসুল আলম কাসেমি</t>
  </si>
  <si>
    <t>তাওফিকুর রহমান</t>
  </si>
  <si>
    <t xml:space="preserve">†gv. AvRMi Avjx </t>
  </si>
  <si>
    <t>মুহাম্মাদ হুজাইফা</t>
  </si>
  <si>
    <t xml:space="preserve">giûg gwZDi ingvb </t>
  </si>
  <si>
    <t>মুহাম্মাদ আলম মিয়া</t>
  </si>
  <si>
    <t xml:space="preserve"> †gvnv¤§` †njvj </t>
  </si>
  <si>
    <t>হুসাইন</t>
  </si>
  <si>
    <t xml:space="preserve"> †gvnv¤§` igRvb </t>
  </si>
  <si>
    <t xml:space="preserve">মুস্তাকিম বিল্লাহ </t>
  </si>
  <si>
    <t xml:space="preserve">†gv. Avãyj ev‡iK </t>
  </si>
  <si>
    <t>আবদুল্লাহ লাবিব</t>
  </si>
  <si>
    <t xml:space="preserve">Rqbvj Av‡e`xb </t>
  </si>
  <si>
    <t>সাকিব হাসান</t>
  </si>
  <si>
    <t xml:space="preserve">†gv. Avjg </t>
  </si>
  <si>
    <t>†gv. eRjy †gvjøv</t>
  </si>
  <si>
    <t xml:space="preserve">তামিমুল ইসলাম </t>
  </si>
  <si>
    <t xml:space="preserve">gvI. †gv. wmivRyj Bmjvg </t>
  </si>
  <si>
    <t xml:space="preserve">আফফান হাকিমী </t>
  </si>
  <si>
    <t xml:space="preserve">AvRviæj Bmjvg </t>
  </si>
  <si>
    <t xml:space="preserve">Avãyj Iqvnve </t>
  </si>
  <si>
    <t>রবিউল হাসান রাফি</t>
  </si>
  <si>
    <t xml:space="preserve">†gv. †gvkvid †nv‡mb </t>
  </si>
  <si>
    <t xml:space="preserve">রাফিউল ইসলাম </t>
  </si>
  <si>
    <t xml:space="preserve">†gv. bRiæj Bmjvg </t>
  </si>
  <si>
    <t>রিফাত</t>
  </si>
  <si>
    <t>আলী আকবর</t>
  </si>
  <si>
    <t>আবদুল্লাহ নোমান</t>
  </si>
  <si>
    <t>আল আমিন</t>
  </si>
  <si>
    <t xml:space="preserve">†gv. Kvgvj ûmvBb </t>
  </si>
  <si>
    <t xml:space="preserve">gynv. `yjvj wgqv </t>
  </si>
  <si>
    <t>শাহজালাল</t>
  </si>
  <si>
    <t xml:space="preserve">†gv. AvjvDwÏb </t>
  </si>
  <si>
    <t xml:space="preserve">এনামুল ইসলাম </t>
  </si>
  <si>
    <t xml:space="preserve">†gv. kvgQzi ingvb </t>
  </si>
  <si>
    <t xml:space="preserve">মাহদী হাসান সিয়াম </t>
  </si>
  <si>
    <t>†gv. gvwbK mi`vi</t>
  </si>
  <si>
    <t xml:space="preserve">মুহাম্মাদ উবায়দুল্লাহ </t>
  </si>
  <si>
    <t xml:space="preserve">†gv. Av. ingvb miKvi </t>
  </si>
  <si>
    <t xml:space="preserve">শুয়াইব আল মাহমুদ </t>
  </si>
  <si>
    <t xml:space="preserve">gynv¤§v` myjZvb Bmjvg </t>
  </si>
  <si>
    <t xml:space="preserve">শুয়াইব আহমাদ </t>
  </si>
  <si>
    <t xml:space="preserve"> †gvnv. kwdK wgqv </t>
  </si>
  <si>
    <t>এনামুল হক রিফাত</t>
  </si>
  <si>
    <t>সাব্বির রহমান</t>
  </si>
  <si>
    <t>মুহাম্মাদ মুরসালিন</t>
  </si>
  <si>
    <t xml:space="preserve">†gv. †ejvj </t>
  </si>
  <si>
    <t xml:space="preserve">†gv. iweDj Kwig </t>
  </si>
  <si>
    <t>শফিকুল ইসলাম সালমান</t>
  </si>
  <si>
    <t xml:space="preserve">kwn`yj Bmjvg </t>
  </si>
  <si>
    <t>ফরহাদ ইসলাম</t>
  </si>
  <si>
    <t xml:space="preserve">eveyj †nv‡mb </t>
  </si>
  <si>
    <t>সিয়াম হুসাইন</t>
  </si>
  <si>
    <t xml:space="preserve">†mwjg </t>
  </si>
  <si>
    <t xml:space="preserve">ফাহিম মুনতাছির </t>
  </si>
  <si>
    <t xml:space="preserve">†gv. †iRvDj Kixg </t>
  </si>
  <si>
    <t xml:space="preserve">ইয়াম হাসান নাঈম </t>
  </si>
  <si>
    <t xml:space="preserve">BqvKze Avjx </t>
  </si>
  <si>
    <t>আলিফ আল হাসান</t>
  </si>
  <si>
    <t xml:space="preserve">†gv. kvnRvnvb </t>
  </si>
  <si>
    <t>সোহরাব আলী</t>
  </si>
  <si>
    <t xml:space="preserve">†gv. Avey mvC` e¨vcvix </t>
  </si>
  <si>
    <t>আহসান হাবিব</t>
  </si>
  <si>
    <t xml:space="preserve">gynv. Av‡bvqviæj nK </t>
  </si>
  <si>
    <t xml:space="preserve">নাঈমুল ইসলাম </t>
  </si>
  <si>
    <t xml:space="preserve">†gv. eKzj wgqv </t>
  </si>
  <si>
    <t>ইরফান আহমাদ</t>
  </si>
  <si>
    <t xml:space="preserve">মাহবুবুল ইসলাম </t>
  </si>
  <si>
    <t xml:space="preserve">†gv. iwk`yj Bmjvg </t>
  </si>
  <si>
    <t xml:space="preserve">তরিকুল ইসলাম </t>
  </si>
  <si>
    <t xml:space="preserve">†gv. †gvm‡jg DwÏb </t>
  </si>
  <si>
    <t xml:space="preserve">আনাস আহমাদ </t>
  </si>
  <si>
    <t>সিয়াম চৌধুরী</t>
  </si>
  <si>
    <t xml:space="preserve">†gv. Avãyj nvwjg </t>
  </si>
  <si>
    <t>আহমাদ মুসা</t>
  </si>
  <si>
    <t xml:space="preserve">Avãyj gvbœvb </t>
  </si>
  <si>
    <t>কালিমুল্লাহ মিনহাজ</t>
  </si>
  <si>
    <t>gvI. †njvj Avng`</t>
  </si>
  <si>
    <t>আবদুল্লাহ আল মাসউদ ত্বলহা</t>
  </si>
  <si>
    <t xml:space="preserve">Avãyj Kv‡`i </t>
  </si>
  <si>
    <t>শরীফুজ্জামান</t>
  </si>
  <si>
    <t xml:space="preserve">Avkivd Avjx </t>
  </si>
  <si>
    <t xml:space="preserve">শাকিল আহমাদ </t>
  </si>
  <si>
    <t xml:space="preserve">†gv. †gvnb nvIjv`vi </t>
  </si>
  <si>
    <t>মুহাম্মাদ সুলাইমান</t>
  </si>
  <si>
    <t xml:space="preserve">†gv. Aveyj nv‡kg </t>
  </si>
  <si>
    <t xml:space="preserve">gymv cÖavb </t>
  </si>
  <si>
    <t xml:space="preserve">মুহিব্বুল্লাহ </t>
  </si>
  <si>
    <t xml:space="preserve">†gv. gvBbywÏb </t>
  </si>
  <si>
    <t>তারেক জামিল</t>
  </si>
  <si>
    <t xml:space="preserve">gynv. Ryev‡qi †kL </t>
  </si>
  <si>
    <t>তামিম হোসেন</t>
  </si>
  <si>
    <t xml:space="preserve">†gv. iweDj †nv‡mb </t>
  </si>
  <si>
    <t>মিসবাহুল হক</t>
  </si>
  <si>
    <t xml:space="preserve">†gv. `yjvj †nv‡mb †kL </t>
  </si>
  <si>
    <t>তাওসিফ সামিন</t>
  </si>
  <si>
    <t xml:space="preserve">Aveyj Kvjvg AvRv` </t>
  </si>
  <si>
    <t>আবু বকর সিদ্দীক</t>
  </si>
  <si>
    <t>মুহাম্মদ ইয়াছিন</t>
  </si>
  <si>
    <t xml:space="preserve">jyrdzi ingvb </t>
  </si>
  <si>
    <t xml:space="preserve">হাসান মাহমুদ </t>
  </si>
  <si>
    <t xml:space="preserve">gynv. †njvj †nv‡mb </t>
  </si>
  <si>
    <t>মুহাম্মদ আসাদুজ্জামান</t>
  </si>
  <si>
    <t xml:space="preserve">gynv¤§` Avãyj evCm </t>
  </si>
  <si>
    <t>মুসতাকিম বিল্লাহ</t>
  </si>
  <si>
    <t xml:space="preserve"> †gv. bRiæj Bmjvg </t>
  </si>
  <si>
    <t>রাফি উসমানী</t>
  </si>
  <si>
    <t xml:space="preserve">giûg BDmyd †PŠayix </t>
  </si>
  <si>
    <t>আবু সাইদ</t>
  </si>
  <si>
    <t xml:space="preserve">RvwKi †nv‡mb </t>
  </si>
  <si>
    <t>হাসনাইন আহমাদ</t>
  </si>
  <si>
    <t xml:space="preserve">gynv. BwjqvQ gvwS </t>
  </si>
  <si>
    <t>সাইদুর রহমান</t>
  </si>
  <si>
    <t xml:space="preserve"> †gv. gRby wgqv </t>
  </si>
  <si>
    <t>রেদওয়ান আল মাহমুদ</t>
  </si>
  <si>
    <t>Kv‡kg nvIjv`vi</t>
  </si>
  <si>
    <t>মিনহাজ মোল্লা</t>
  </si>
  <si>
    <t>†gv. nviæbyi iwk`</t>
  </si>
  <si>
    <t xml:space="preserve">iRe Avjx </t>
  </si>
  <si>
    <t xml:space="preserve">giûg Gikv` Avjg </t>
  </si>
  <si>
    <t>মোনায়েম আহমাদ</t>
  </si>
  <si>
    <t xml:space="preserve">†gv¯Ídv Kvgvj </t>
  </si>
  <si>
    <t xml:space="preserve">gynv. kwdKzj Bmjvg </t>
  </si>
  <si>
    <t>রুহুল আমিন</t>
  </si>
  <si>
    <t xml:space="preserve">gynv. kvwnb Avjg </t>
  </si>
  <si>
    <t xml:space="preserve">†gv. w`jevi †nv‡mb </t>
  </si>
  <si>
    <t>হাবিবুল্লাহ সাদী</t>
  </si>
  <si>
    <t xml:space="preserve">gynv. Bg`v`yjøvn </t>
  </si>
  <si>
    <t xml:space="preserve">মুহাম্মাদ ফেরদাউস </t>
  </si>
  <si>
    <t xml:space="preserve">AvBbywÏb </t>
  </si>
  <si>
    <t>তাফসির রহমান ত্বহা</t>
  </si>
  <si>
    <t>†gv. iæûj Avwgb</t>
  </si>
  <si>
    <t>আকরাম হুসাইন</t>
  </si>
  <si>
    <t xml:space="preserve">†gv. BKevj wgqv </t>
  </si>
  <si>
    <t>আবদুর রাজ্জাক</t>
  </si>
  <si>
    <t xml:space="preserve"> †gvnv¤§` Bmjvg </t>
  </si>
  <si>
    <t xml:space="preserve">ওমর ফারুক </t>
  </si>
  <si>
    <t xml:space="preserve">†gv. Avjx AvKei </t>
  </si>
  <si>
    <t>মুজাহিদ ইসলাম</t>
  </si>
  <si>
    <t>†gv. BDbym Avjx</t>
  </si>
  <si>
    <t>gynv. Aveyj evkvi</t>
  </si>
  <si>
    <t xml:space="preserve">সাজিদ শেখ </t>
  </si>
  <si>
    <t xml:space="preserve">†gv. Avãyj AvDqvj </t>
  </si>
  <si>
    <t>মাহমুদুল হাসান</t>
  </si>
  <si>
    <t xml:space="preserve">†gv. gvneyeyi ingvb </t>
  </si>
  <si>
    <t>wicb miKvi</t>
  </si>
  <si>
    <t>শহীদুল ইসলাম</t>
  </si>
  <si>
    <t>আবু জাফর</t>
  </si>
  <si>
    <t xml:space="preserve">†gv. Avey Zvjnv </t>
  </si>
  <si>
    <t>gvI. Rnxiæj nvmvb</t>
  </si>
  <si>
    <t>সিরাজুল ইসলাম</t>
  </si>
  <si>
    <t>†gv. Rvnv½xi mi`vi</t>
  </si>
  <si>
    <t xml:space="preserve">nvweeyi ingvb </t>
  </si>
  <si>
    <t xml:space="preserve">†gv. †Mvjvgyi ingvb </t>
  </si>
  <si>
    <t>আবদুল কাইয়্যুম</t>
  </si>
  <si>
    <t>†gv. †ZvZv wkK`vi</t>
  </si>
  <si>
    <t>রবিউল ইসলাম</t>
  </si>
  <si>
    <t xml:space="preserve">†gv. Bmjvg DwÏb </t>
  </si>
  <si>
    <t>মুহিব্বুর রহমান আনাস</t>
  </si>
  <si>
    <t xml:space="preserve">†gv. Avwbmyi ingvb </t>
  </si>
  <si>
    <t>আবদুল্লাহ আল এহসান</t>
  </si>
  <si>
    <t>wmivRyj Bmjvg</t>
  </si>
  <si>
    <t xml:space="preserve">জুনায়েদ আহমাদ </t>
  </si>
  <si>
    <t xml:space="preserve">Av. ev‡Zb gvn`x </t>
  </si>
  <si>
    <t xml:space="preserve">তাজুল ইসলাম </t>
  </si>
  <si>
    <t>†gv. Av. gyËvwje</t>
  </si>
  <si>
    <t xml:space="preserve">†gv. AvRv` </t>
  </si>
  <si>
    <t>মাসুম বিল্লাহ</t>
  </si>
  <si>
    <t xml:space="preserve">Ave`yj Kwig </t>
  </si>
  <si>
    <t>মুহাম্মাদ ফুরকানুদ্দিন</t>
  </si>
  <si>
    <t xml:space="preserve">†gv. BmnvK wgqv </t>
  </si>
  <si>
    <t xml:space="preserve">ইলিয়াস আল মামুন </t>
  </si>
  <si>
    <t xml:space="preserve">BmgvCj †nv‡mb </t>
  </si>
  <si>
    <t>হুসাইন আহমদ</t>
  </si>
  <si>
    <t xml:space="preserve"> †gvnv. wmwÏK †kL </t>
  </si>
  <si>
    <t>আবদুল লতীফ</t>
  </si>
  <si>
    <t xml:space="preserve">gynv. mvwgDj Bmjvg </t>
  </si>
  <si>
    <t>†gv. Av. gyZvwje</t>
  </si>
  <si>
    <t>আতাউল্লাহ মিসবাহ</t>
  </si>
  <si>
    <t xml:space="preserve">gvI. †njvj Avng` </t>
  </si>
  <si>
    <t>মাহদী হাসান বিন ইউসুফ</t>
  </si>
  <si>
    <t xml:space="preserve">giûg BDmyd </t>
  </si>
  <si>
    <t>আবু শাহমা</t>
  </si>
  <si>
    <t xml:space="preserve">†gv. Aveyj evkvi </t>
  </si>
  <si>
    <t>শাফাকাত মজুমদার</t>
  </si>
  <si>
    <t xml:space="preserve">kwn`yjøvn </t>
  </si>
  <si>
    <t xml:space="preserve">শাহিন আলম </t>
  </si>
  <si>
    <t xml:space="preserve">†gv. Av. KzÏym </t>
  </si>
  <si>
    <t xml:space="preserve">†gv. Rûiæj nK </t>
  </si>
  <si>
    <t>ইমরান হাসান</t>
  </si>
  <si>
    <t xml:space="preserve">†gv. Rvgvj DwÏb </t>
  </si>
  <si>
    <t>মুহাম্মাদ জাকারিয়া</t>
  </si>
  <si>
    <t xml:space="preserve">gynv. gyqv‡¾g û‡mb </t>
  </si>
  <si>
    <t xml:space="preserve">†gv. iweDj Bmjvg </t>
  </si>
  <si>
    <t>নাঈমুর রহমান</t>
  </si>
  <si>
    <t xml:space="preserve">nvweeyjøvn </t>
  </si>
  <si>
    <t>আবদুল্লাহ আল সাকিব</t>
  </si>
  <si>
    <t xml:space="preserve">Gm Gg g‡bv‡qvi †nv‡mb </t>
  </si>
  <si>
    <t>শুয়াইব আহমাদ</t>
  </si>
  <si>
    <t xml:space="preserve"> †kL †mwjg †iRv</t>
  </si>
  <si>
    <t xml:space="preserve">মুহাম্মাদ ইসমাইল </t>
  </si>
  <si>
    <t>মুহাম্মাদ আলী</t>
  </si>
  <si>
    <t xml:space="preserve">†gv. eveyj wgqv </t>
  </si>
  <si>
    <t>সাকিব কামাল</t>
  </si>
  <si>
    <t>মোজ্জাম্মেল হক</t>
  </si>
  <si>
    <t xml:space="preserve">†gv. Avãyjøvn </t>
  </si>
  <si>
    <t xml:space="preserve">মিনহাজ উদ্দিন </t>
  </si>
  <si>
    <t xml:space="preserve">†gv. myjZvb wgqv </t>
  </si>
  <si>
    <t xml:space="preserve">মুসতাকিম বিল্লাহ </t>
  </si>
  <si>
    <t xml:space="preserve">giûg BKevj †kL </t>
  </si>
  <si>
    <t>আনিসুর রহমান</t>
  </si>
  <si>
    <t xml:space="preserve">†gv. RvwKi û‡mb </t>
  </si>
  <si>
    <t>সিয়াম বিন দুলাল</t>
  </si>
  <si>
    <t xml:space="preserve">†gv. `yjvj </t>
  </si>
  <si>
    <t>আবদুল্লাহ আল মামুন</t>
  </si>
  <si>
    <t xml:space="preserve">†kL gwkDi ingvb </t>
  </si>
  <si>
    <t>হুসাইন আহমাদ</t>
  </si>
  <si>
    <t xml:space="preserve">†gv. Kvgvj Avngv` </t>
  </si>
  <si>
    <t>মিনহাজুর রহমান</t>
  </si>
  <si>
    <t xml:space="preserve">giûg gvI. wghvbyi ingvb </t>
  </si>
  <si>
    <t>আবদুল্লাহ আল সিয়াম</t>
  </si>
  <si>
    <t xml:space="preserve">†gv. nvq`vi Avjx </t>
  </si>
  <si>
    <t xml:space="preserve">আল আমিন জুয়েল </t>
  </si>
  <si>
    <t xml:space="preserve">giûg Avãyi iwk` </t>
  </si>
  <si>
    <t xml:space="preserve">আসাদুল্লাহ </t>
  </si>
  <si>
    <t xml:space="preserve">Avãyjøvn </t>
  </si>
  <si>
    <t xml:space="preserve">ইয়াসিন আরাফাত </t>
  </si>
  <si>
    <t xml:space="preserve">eveyj wgqv </t>
  </si>
  <si>
    <t xml:space="preserve">আবদুল কাদের </t>
  </si>
  <si>
    <t xml:space="preserve">gvI.†gv. ˆmq` Avng` </t>
  </si>
  <si>
    <t>নূর মুহাম্মদ বিন আবদুল খালেক</t>
  </si>
  <si>
    <t>মাহদী</t>
  </si>
  <si>
    <t>মোশাররফ</t>
  </si>
  <si>
    <t>রহমাতুল্লাহ</t>
  </si>
  <si>
    <t xml:space="preserve">Av. iv¾vK </t>
  </si>
  <si>
    <t>আহমদ শফী</t>
  </si>
  <si>
    <t xml:space="preserve">gynv. knx`yj Bmjvg </t>
  </si>
  <si>
    <t>হাদীউযযামান</t>
  </si>
  <si>
    <t xml:space="preserve">nv. gynv. gybxiæhhvgvb </t>
  </si>
  <si>
    <t xml:space="preserve">ইফতেখার আলম </t>
  </si>
  <si>
    <t xml:space="preserve">†gv. b~i Avjg </t>
  </si>
  <si>
    <t>ইবরাহিম হুসাইন</t>
  </si>
  <si>
    <t xml:space="preserve">†gv. Lwjjyi ingvb </t>
  </si>
  <si>
    <t>শামীম আহমাদ বিন মুমিনুর রহমান</t>
  </si>
  <si>
    <t xml:space="preserve">gynv. gywgbyi ingvb </t>
  </si>
  <si>
    <t>শামীম আহমাদ বিন আশরাফ আলী</t>
  </si>
  <si>
    <t>Avkivd Avjx †kL</t>
  </si>
  <si>
    <t xml:space="preserve">†gv. Avkivdzj Bmjvg </t>
  </si>
  <si>
    <t xml:space="preserve">জিহাদুল ইসলাম </t>
  </si>
  <si>
    <t xml:space="preserve">Avãyi iv¾vK </t>
  </si>
  <si>
    <t>সায়েম খান</t>
  </si>
  <si>
    <t xml:space="preserve">mvBdzi ingvb Lvb </t>
  </si>
  <si>
    <t>নূর মুহাম্মদ বিন রেজাউল হক</t>
  </si>
  <si>
    <t>রেজাউল হক</t>
  </si>
  <si>
    <t>মামুন হোসেন</t>
  </si>
  <si>
    <t xml:space="preserve">†gv. myiæR wgqv </t>
  </si>
  <si>
    <t>আবদুল মুমিন</t>
  </si>
  <si>
    <t xml:space="preserve">giûg gynv. Kv‡jvMvRx </t>
  </si>
  <si>
    <t>এমদাদ উল্লাহ</t>
  </si>
  <si>
    <t xml:space="preserve">†gvnv¤§` Dj¨vn </t>
  </si>
  <si>
    <t xml:space="preserve">gynv. Rûiæj Bmjvg </t>
  </si>
  <si>
    <t>জুবায়ের</t>
  </si>
  <si>
    <t>আবদুল মজিদ</t>
  </si>
  <si>
    <t>ইউসুফ আলী</t>
  </si>
  <si>
    <t>আবদুল মালেক</t>
  </si>
  <si>
    <t>মুহা. শাহজাহান</t>
  </si>
  <si>
    <t>বাতিল</t>
  </si>
  <si>
    <t>আবদুল্লাহ বিন আলী আজগর</t>
  </si>
  <si>
    <t>ফাহিম বিন বাবুল মুনশী</t>
  </si>
  <si>
    <t>আবদুল্লাহ বিন মাসুম বিল্লাহ</t>
  </si>
  <si>
    <t>আবু বকর বিন জাকির হোসেন চৌধুরী</t>
  </si>
  <si>
    <t>মুহিব বিন সুমন</t>
  </si>
  <si>
    <t>আবু বকর সিদ্দিক বিন আ. রশিদ</t>
  </si>
  <si>
    <t>তানভীর রেজাউল করীম</t>
  </si>
  <si>
    <t>তাওহিদুল ইসলাম বিন সুজ</t>
  </si>
  <si>
    <t>জুনাইদ বিন জালাল হক</t>
  </si>
  <si>
    <t>আবু বকর বিন শাহ আলম</t>
  </si>
  <si>
    <t>ইমরান বিন বুলবুল</t>
  </si>
  <si>
    <t>ইয়াসিন বিন ইউসুফ</t>
  </si>
  <si>
    <t>তাহমিদ হাসান বিন আবু সাঈদ</t>
  </si>
  <si>
    <t>ইয়াসিন বিন আশরাফ</t>
  </si>
  <si>
    <t>আবদুল্লাহ বিন আবু বকর</t>
  </si>
  <si>
    <t>মাহদী বিন সুমন</t>
  </si>
  <si>
    <t>তানভীর বিন তাহের মিয়া</t>
  </si>
  <si>
    <t>শুয়াইব বিন আবদুল ওয়াহহাব</t>
  </si>
  <si>
    <t>আবু বকর বিন শাহজাহান</t>
  </si>
  <si>
    <t>মো. সাইফুল ইসলাম</t>
  </si>
  <si>
    <t>মাসুম আহমদ ভূঁইয়া</t>
  </si>
  <si>
    <t>অনিয়মিত</t>
  </si>
  <si>
    <t>ইবরাহিম বিন নজরুল ইসলাম</t>
  </si>
  <si>
    <t>ফাহিম বিন আরমান</t>
  </si>
  <si>
    <t>মুয়াজ বিন মাইনুদ্দিন</t>
  </si>
  <si>
    <t>হাসান বিন শাহিন</t>
  </si>
  <si>
    <t>আবদুল্লাহ বিন লোকমান</t>
  </si>
  <si>
    <t>জুনায়েদ বিন ওলিউর রহমান</t>
  </si>
  <si>
    <t>আবদুল্লাহ বিন ইসহাক</t>
  </si>
  <si>
    <t>হোসাইন বিন মাহতাব</t>
  </si>
  <si>
    <t>সিফাত বিন বাবু</t>
  </si>
  <si>
    <t>রিফাত বিন মাসুদ মিয়া</t>
  </si>
  <si>
    <t>ওমর বিন কবির হোসেন</t>
  </si>
  <si>
    <t>ফাহাদ বিন ফারুক</t>
  </si>
  <si>
    <t>তাহসিন বিন রাসেল</t>
  </si>
  <si>
    <t>রাফসান বিন সুজন</t>
  </si>
  <si>
    <t>তানভীর বিন সোহেল</t>
  </si>
  <si>
    <t>ইবরাহিম বিন সিরাজুল ইসলাম</t>
  </si>
  <si>
    <t>জুনায়েদ বিন সোহেল</t>
  </si>
  <si>
    <t>মুসা বিন সিরাজুল ইসলাম</t>
  </si>
  <si>
    <t>ইবরাহিম বিন সোহেল</t>
  </si>
  <si>
    <t>ত্বহা বিন মাসুম</t>
  </si>
  <si>
    <t>হাসান বিন মাহতাব</t>
  </si>
  <si>
    <t>আলিফ বিন আনোয়ার</t>
  </si>
  <si>
    <t>জুবায়ের বিন রাসেল</t>
  </si>
  <si>
    <t>রায়হান বিন আবদুল হাই</t>
  </si>
  <si>
    <t>আয়াত বিন রিপন</t>
  </si>
  <si>
    <t>জিহাদ বিন শরিফুল ইসলাম</t>
  </si>
  <si>
    <t>কাসা. নাবিয়্যীন ও শ. মিয়াতে আমেল</t>
  </si>
  <si>
    <t xml:space="preserve">১. এটি প্রাথমিক ফলাফল। কোনো পরিবর্তনের প্রয়োজন মনে হলে তিন দিনের ভেতরে নাযেমে তালিমাত বরাবর লিখিত আবেদন করতে হবে। ২. কুরআন শরীফ ও বাংলা হাতের লেখা পরীক্ষার মার্ক ফলাফলে যুক্ত হয়নি। তবে কুরআন শরীফে পাস হওয়া আবশ্যক। </t>
  </si>
  <si>
    <t>পরীক্ষার্থীর ধরণ</t>
  </si>
  <si>
    <t>মিশকাত ২য় ও ৩য়</t>
  </si>
  <si>
    <t>ফি</t>
  </si>
  <si>
    <t>স্বাক্ষর</t>
  </si>
  <si>
    <t>যিম্মাদার উস্তাদের স্বাক্ষর :</t>
  </si>
  <si>
    <t>তারিখ :</t>
  </si>
  <si>
    <t>কুরআন - নাজেরা (৫০)</t>
  </si>
  <si>
    <t>বাংলা হাতের লেখা (৫০)</t>
  </si>
  <si>
    <t>৫০%</t>
  </si>
  <si>
    <t>৫৫%</t>
  </si>
  <si>
    <t>৬০%</t>
  </si>
  <si>
    <t>৬৫%</t>
  </si>
  <si>
    <t>৭০%</t>
  </si>
  <si>
    <t>৩৫%</t>
  </si>
  <si>
    <t>৮০%</t>
  </si>
  <si>
    <t xml:space="preserve">মুহাম্মদ উসাইদ </t>
  </si>
  <si>
    <t>শরহে বেকায়া ১ম-২য়</t>
  </si>
  <si>
    <t>আত তরিক ই. ইনশা ৩য়</t>
  </si>
  <si>
    <t>মিজান বিন আবুল বাশার</t>
  </si>
  <si>
    <t>মাহদী বিন গোলামুর রহমান</t>
  </si>
  <si>
    <t>মিজান বিন হাবিব</t>
  </si>
  <si>
    <t>বেলাল বিন জয়নাল আবেদীন</t>
  </si>
  <si>
    <t xml:space="preserve">বেলাল বিন এরশাদ আলম </t>
  </si>
  <si>
    <t xml:space="preserve">তালিমুল ইসলাম ৪র্থ </t>
  </si>
  <si>
    <t>দৌলত শেখ</t>
  </si>
  <si>
    <t>আসাদুজ্জামান</t>
  </si>
  <si>
    <t>আবদুল্লাহ বিন নবীর খান</t>
  </si>
  <si>
    <t>আবদুল্লাহ বিন ইমরান</t>
  </si>
  <si>
    <t>ফাহিম বিন জসিম ‍উদ্দিন</t>
  </si>
  <si>
    <t>ইবরাহিম বিন সাব্বির</t>
  </si>
  <si>
    <t>ইবরাহিম বিন নাসির</t>
  </si>
  <si>
    <t>আবদুল্লাহ বিন মিজান</t>
  </si>
  <si>
    <t>ইবরাহিম বিন শাহিন</t>
  </si>
  <si>
    <t>জাবেদ আহমাদ</t>
  </si>
  <si>
    <t xml:space="preserve">সাআদ আহমদ বিন আকরাম </t>
  </si>
  <si>
    <t xml:space="preserve">কুরআন - নাজেরা </t>
  </si>
  <si>
    <t>বাংলা হাতের লেখা</t>
  </si>
  <si>
    <t>মুসতাকিম বিন আ. মুতালিব</t>
  </si>
  <si>
    <t>২ পা.১০ পৃ.</t>
  </si>
  <si>
    <t xml:space="preserve">আবু হুরায়রা বিন জামাল </t>
  </si>
</sst>
</file>

<file path=xl/styles.xml><?xml version="1.0" encoding="utf-8"?>
<styleSheet xmlns="http://schemas.openxmlformats.org/spreadsheetml/2006/main">
  <numFmts count="1">
    <numFmt numFmtId="164" formatCode="[$-5000445]0"/>
  </numFmts>
  <fonts count="27">
    <font>
      <sz val="12"/>
      <color theme="1"/>
      <name val="Calibri"/>
      <family val="2"/>
      <scheme val="minor"/>
    </font>
    <font>
      <sz val="14"/>
      <color theme="1"/>
      <name val="SutonnyMJ"/>
    </font>
    <font>
      <sz val="8"/>
      <color theme="1"/>
      <name val="Calibri"/>
      <family val="2"/>
      <scheme val="minor"/>
    </font>
    <font>
      <sz val="14"/>
      <color theme="1"/>
      <name val="SutonnyOMJ"/>
    </font>
    <font>
      <sz val="14"/>
      <name val="SutonnyOMJ"/>
    </font>
    <font>
      <sz val="13"/>
      <color theme="1"/>
      <name val="SutonnyOMJ"/>
    </font>
    <font>
      <sz val="24"/>
      <color theme="1"/>
      <name val="SutonnyOMJ"/>
    </font>
    <font>
      <sz val="13"/>
      <name val="SutonnyOMJ"/>
    </font>
    <font>
      <sz val="10"/>
      <color theme="1"/>
      <name val="SutonnyOMJ"/>
    </font>
    <font>
      <sz val="14"/>
      <name val="SutonnyMJ"/>
    </font>
    <font>
      <sz val="14"/>
      <color rgb="FFFF0000"/>
      <name val="SutonnyMJ"/>
    </font>
    <font>
      <sz val="12"/>
      <color theme="1"/>
      <name val="SutonnyOMJ"/>
    </font>
    <font>
      <b/>
      <sz val="14"/>
      <color theme="1"/>
      <name val="SutonnyOMJ"/>
    </font>
    <font>
      <b/>
      <sz val="14"/>
      <color rgb="FF0B0B0B"/>
      <name val="SutonnyOMJ"/>
    </font>
    <font>
      <sz val="12"/>
      <color rgb="FFFF0000"/>
      <name val="Calibri"/>
      <family val="2"/>
      <scheme val="minor"/>
    </font>
    <font>
      <b/>
      <sz val="14"/>
      <color theme="1"/>
      <name val="SutonnyMJ"/>
    </font>
    <font>
      <b/>
      <sz val="14"/>
      <name val="SutonnyMJ"/>
    </font>
    <font>
      <sz val="13.5"/>
      <color theme="1"/>
      <name val="SutonnyOMJ"/>
    </font>
    <font>
      <b/>
      <sz val="13.5"/>
      <color theme="1"/>
      <name val="SutonnyMJ"/>
    </font>
    <font>
      <sz val="14"/>
      <color rgb="FFFF0000"/>
      <name val="SutonnyOMJ"/>
    </font>
    <font>
      <b/>
      <sz val="14"/>
      <color rgb="FFFF0000"/>
      <name val="SutonnyMJ"/>
    </font>
    <font>
      <sz val="12"/>
      <name val="SutonnyOMJ"/>
    </font>
    <font>
      <sz val="12"/>
      <color rgb="FFFF0000"/>
      <name val="SutonnyOMJ"/>
    </font>
    <font>
      <b/>
      <sz val="12"/>
      <color theme="1"/>
      <name val="SutonnyOMJ"/>
    </font>
    <font>
      <b/>
      <sz val="11"/>
      <color theme="1"/>
      <name val="SutonnyOMJ"/>
    </font>
    <font>
      <u val="double"/>
      <sz val="12"/>
      <color rgb="FFFF0000"/>
      <name val="Calibri"/>
      <family val="2"/>
      <scheme val="minor"/>
    </font>
    <font>
      <u val="double"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 applyNumberFormat="1"/>
    <xf numFmtId="0" fontId="0" fillId="0" borderId="0" xfId="0" applyNumberFormat="1" applyAlignment="1">
      <alignment textRotation="90"/>
    </xf>
    <xf numFmtId="0" fontId="0" fillId="0" borderId="0" xfId="0" applyNumberFormat="1" applyAlignment="1"/>
    <xf numFmtId="49" fontId="0" fillId="0" borderId="0" xfId="0" applyNumberFormat="1"/>
    <xf numFmtId="49" fontId="0" fillId="0" borderId="0" xfId="0" applyNumberFormat="1" applyAlignment="1"/>
    <xf numFmtId="0" fontId="2" fillId="0" borderId="0" xfId="0" applyNumberFormat="1" applyFont="1"/>
    <xf numFmtId="0" fontId="1" fillId="0" borderId="0" xfId="0" applyNumberFormat="1" applyFont="1" applyBorder="1" applyAlignment="1">
      <alignment vertical="top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readingOrder="1"/>
    </xf>
    <xf numFmtId="0" fontId="6" fillId="0" borderId="0" xfId="0" applyFont="1" applyAlignment="1">
      <alignment readingOrder="2"/>
    </xf>
    <xf numFmtId="0" fontId="3" fillId="0" borderId="1" xfId="0" applyFont="1" applyBorder="1" applyAlignment="1">
      <alignment horizontal="center" readingOrder="2"/>
    </xf>
    <xf numFmtId="0" fontId="3" fillId="2" borderId="1" xfId="0" applyFont="1" applyFill="1" applyBorder="1" applyAlignment="1">
      <alignment horizontal="center" readingOrder="2"/>
    </xf>
    <xf numFmtId="0" fontId="3" fillId="2" borderId="1" xfId="0" applyFont="1" applyFill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vertical="center" readingOrder="2"/>
    </xf>
    <xf numFmtId="164" fontId="3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1"/>
    </xf>
    <xf numFmtId="164" fontId="3" fillId="0" borderId="1" xfId="0" applyNumberFormat="1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wrapText="1" readingOrder="2"/>
    </xf>
    <xf numFmtId="164" fontId="3" fillId="0" borderId="1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readingOrder="2"/>
    </xf>
    <xf numFmtId="0" fontId="7" fillId="0" borderId="1" xfId="0" applyFont="1" applyBorder="1" applyAlignment="1">
      <alignment horizontal="center" vertical="center" readingOrder="2"/>
    </xf>
    <xf numFmtId="0" fontId="7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 readingOrder="1"/>
    </xf>
    <xf numFmtId="0" fontId="8" fillId="0" borderId="1" xfId="0" applyFont="1" applyBorder="1" applyAlignment="1">
      <alignment horizontal="center" vertical="center" wrapText="1" readingOrder="1"/>
    </xf>
    <xf numFmtId="164" fontId="7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 readingOrder="2"/>
    </xf>
    <xf numFmtId="0" fontId="5" fillId="0" borderId="0" xfId="0" applyFont="1" applyAlignment="1">
      <alignment horizontal="center" vertical="center" readingOrder="1"/>
    </xf>
    <xf numFmtId="0" fontId="3" fillId="0" borderId="0" xfId="0" applyFont="1" applyAlignment="1">
      <alignment horizontal="center" vertical="center" readingOrder="2"/>
    </xf>
    <xf numFmtId="0" fontId="3" fillId="0" borderId="0" xfId="0" applyFont="1" applyBorder="1" applyAlignment="1">
      <alignment horizontal="center" vertical="center" readingOrder="2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readingOrder="2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readingOrder="2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readingOrder="2"/>
    </xf>
    <xf numFmtId="0" fontId="5" fillId="0" borderId="0" xfId="0" applyFont="1" applyAlignment="1">
      <alignment horizontal="center" readingOrder="1"/>
    </xf>
    <xf numFmtId="0" fontId="7" fillId="0" borderId="1" xfId="0" applyFont="1" applyBorder="1" applyAlignment="1">
      <alignment horizontal="center" readingOrder="1"/>
    </xf>
    <xf numFmtId="0" fontId="7" fillId="0" borderId="1" xfId="0" applyFont="1" applyBorder="1" applyAlignment="1">
      <alignment horizontal="center" vertical="center" readingOrder="1"/>
    </xf>
    <xf numFmtId="164" fontId="7" fillId="0" borderId="1" xfId="0" applyNumberFormat="1" applyFont="1" applyBorder="1" applyAlignment="1">
      <alignment horizontal="center" vertical="center" readingOrder="1"/>
    </xf>
    <xf numFmtId="164" fontId="7" fillId="0" borderId="1" xfId="0" applyNumberFormat="1" applyFont="1" applyBorder="1" applyAlignment="1">
      <alignment horizontal="center" vertical="center" readingOrder="2"/>
    </xf>
    <xf numFmtId="0" fontId="7" fillId="0" borderId="1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 readingOrder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readingOrder="1"/>
    </xf>
    <xf numFmtId="0" fontId="3" fillId="0" borderId="0" xfId="0" applyNumberFormat="1" applyFont="1" applyAlignment="1">
      <alignment vertical="center" readingOrder="2"/>
    </xf>
    <xf numFmtId="0" fontId="3" fillId="0" borderId="0" xfId="0" applyNumberFormat="1" applyFont="1"/>
    <xf numFmtId="0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/>
    <xf numFmtId="0" fontId="9" fillId="0" borderId="1" xfId="0" applyFont="1" applyBorder="1"/>
    <xf numFmtId="164" fontId="3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 readingOrder="2"/>
    </xf>
    <xf numFmtId="0" fontId="3" fillId="3" borderId="1" xfId="0" applyFont="1" applyFill="1" applyBorder="1" applyAlignment="1">
      <alignment horizontal="center" vertical="center" readingOrder="2"/>
    </xf>
    <xf numFmtId="0" fontId="6" fillId="3" borderId="0" xfId="0" applyFont="1" applyFill="1" applyAlignment="1">
      <alignment readingOrder="2"/>
    </xf>
    <xf numFmtId="0" fontId="5" fillId="3" borderId="1" xfId="0" applyFont="1" applyFill="1" applyBorder="1" applyAlignment="1">
      <alignment horizontal="center" vertical="center" readingOrder="1"/>
    </xf>
    <xf numFmtId="164" fontId="3" fillId="3" borderId="1" xfId="0" applyNumberFormat="1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 wrapText="1" readingOrder="2"/>
    </xf>
    <xf numFmtId="1" fontId="5" fillId="0" borderId="1" xfId="0" applyNumberFormat="1" applyFont="1" applyBorder="1" applyAlignment="1">
      <alignment horizontal="center" vertical="center" readingOrder="1"/>
    </xf>
    <xf numFmtId="1" fontId="7" fillId="0" borderId="1" xfId="0" applyNumberFormat="1" applyFont="1" applyBorder="1" applyAlignment="1">
      <alignment horizontal="center" vertical="center" readingOrder="1"/>
    </xf>
    <xf numFmtId="1" fontId="6" fillId="0" borderId="0" xfId="0" applyNumberFormat="1" applyFont="1" applyAlignment="1">
      <alignment readingOrder="2"/>
    </xf>
    <xf numFmtId="1" fontId="5" fillId="0" borderId="1" xfId="0" applyNumberFormat="1" applyFont="1" applyBorder="1" applyAlignment="1">
      <alignment horizontal="center" vertical="center" readingOrder="2"/>
    </xf>
    <xf numFmtId="1" fontId="4" fillId="0" borderId="1" xfId="0" applyNumberFormat="1" applyFont="1" applyBorder="1" applyAlignment="1">
      <alignment horizontal="center" vertical="center" readingOrder="2"/>
    </xf>
    <xf numFmtId="1" fontId="3" fillId="0" borderId="1" xfId="0" applyNumberFormat="1" applyFont="1" applyBorder="1" applyAlignment="1">
      <alignment horizontal="center" vertical="center" readingOrder="2"/>
    </xf>
    <xf numFmtId="1" fontId="3" fillId="3" borderId="0" xfId="0" applyNumberFormat="1" applyFont="1" applyFill="1" applyAlignment="1">
      <alignment vertical="center" readingOrder="2"/>
    </xf>
    <xf numFmtId="1" fontId="3" fillId="0" borderId="0" xfId="0" applyNumberFormat="1" applyFont="1" applyAlignment="1">
      <alignment vertical="center" readingOrder="2"/>
    </xf>
    <xf numFmtId="1" fontId="5" fillId="0" borderId="1" xfId="0" applyNumberFormat="1" applyFont="1" applyBorder="1" applyAlignment="1">
      <alignment horizontal="center" vertical="center" wrapText="1" readingOrder="1"/>
    </xf>
    <xf numFmtId="1" fontId="4" fillId="0" borderId="1" xfId="0" applyNumberFormat="1" applyFont="1" applyBorder="1" applyAlignment="1">
      <alignment horizontal="center" vertical="center" wrapText="1" readingOrder="1"/>
    </xf>
    <xf numFmtId="1" fontId="3" fillId="0" borderId="1" xfId="0" applyNumberFormat="1" applyFont="1" applyBorder="1" applyAlignment="1">
      <alignment horizontal="center" vertical="center" wrapText="1" readingOrder="1"/>
    </xf>
    <xf numFmtId="1" fontId="7" fillId="0" borderId="1" xfId="0" applyNumberFormat="1" applyFont="1" applyBorder="1" applyAlignment="1">
      <alignment horizontal="center" vertical="center" readingOrder="2"/>
    </xf>
    <xf numFmtId="0" fontId="0" fillId="0" borderId="0" xfId="0" applyNumberFormat="1" applyAlignment="1">
      <alignment horizontal="center"/>
    </xf>
    <xf numFmtId="0" fontId="12" fillId="0" borderId="1" xfId="0" applyNumberFormat="1" applyFont="1" applyBorder="1" applyAlignment="1">
      <alignment horizontal="center"/>
    </xf>
    <xf numFmtId="0" fontId="1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NumberFormat="1" applyFont="1" applyBorder="1"/>
    <xf numFmtId="0" fontId="3" fillId="0" borderId="1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12" fillId="0" borderId="0" xfId="0" applyNumberFormat="1" applyFont="1" applyAlignment="1">
      <alignment horizontal="center"/>
    </xf>
    <xf numFmtId="0" fontId="13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0" fillId="0" borderId="1" xfId="0" applyNumberFormat="1" applyBorder="1"/>
    <xf numFmtId="0" fontId="0" fillId="0" borderId="1" xfId="0" applyNumberForma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1" fillId="0" borderId="1" xfId="0" applyFont="1" applyBorder="1"/>
    <xf numFmtId="0" fontId="17" fillId="0" borderId="1" xfId="0" applyFont="1" applyBorder="1"/>
    <xf numFmtId="0" fontId="1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0" fillId="0" borderId="0" xfId="0" applyNumberFormat="1" applyAlignment="1">
      <alignment horizontal="center" textRotation="90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textRotation="90" wrapText="1"/>
    </xf>
    <xf numFmtId="49" fontId="0" fillId="0" borderId="0" xfId="0" applyNumberFormat="1" applyAlignment="1">
      <alignment horizontal="center" wrapText="1"/>
    </xf>
    <xf numFmtId="0" fontId="19" fillId="0" borderId="1" xfId="0" applyFont="1" applyBorder="1"/>
    <xf numFmtId="0" fontId="10" fillId="0" borderId="1" xfId="0" applyFont="1" applyBorder="1"/>
    <xf numFmtId="0" fontId="20" fillId="0" borderId="1" xfId="0" applyFont="1" applyBorder="1" applyAlignment="1">
      <alignment horizontal="center"/>
    </xf>
    <xf numFmtId="0" fontId="14" fillId="0" borderId="0" xfId="0" applyNumberFormat="1" applyFont="1" applyAlignment="1">
      <alignment horizontal="center"/>
    </xf>
    <xf numFmtId="0" fontId="14" fillId="0" borderId="0" xfId="0" applyNumberFormat="1" applyFont="1"/>
    <xf numFmtId="0" fontId="3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left"/>
    </xf>
    <xf numFmtId="0" fontId="1" fillId="0" borderId="0" xfId="0" applyFont="1" applyBorder="1"/>
    <xf numFmtId="0" fontId="0" fillId="0" borderId="0" xfId="0" applyNumberFormat="1" applyBorder="1"/>
    <xf numFmtId="0" fontId="11" fillId="0" borderId="1" xfId="0" applyNumberFormat="1" applyFont="1" applyBorder="1"/>
    <xf numFmtId="0" fontId="11" fillId="0" borderId="1" xfId="0" applyNumberFormat="1" applyFont="1" applyBorder="1" applyAlignment="1">
      <alignment horizontal="center"/>
    </xf>
    <xf numFmtId="0" fontId="11" fillId="0" borderId="0" xfId="0" applyNumberFormat="1" applyFont="1"/>
    <xf numFmtId="164" fontId="1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11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2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 wrapText="1"/>
    </xf>
    <xf numFmtId="0" fontId="11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center"/>
    </xf>
    <xf numFmtId="0" fontId="12" fillId="0" borderId="1" xfId="0" applyNumberFormat="1" applyFont="1" applyBorder="1"/>
    <xf numFmtId="0" fontId="12" fillId="0" borderId="1" xfId="0" applyNumberFormat="1" applyFont="1" applyBorder="1" applyAlignment="1">
      <alignment horizontal="center" textRotation="90"/>
    </xf>
    <xf numFmtId="0" fontId="12" fillId="0" borderId="1" xfId="0" applyNumberFormat="1" applyFont="1" applyBorder="1" applyAlignment="1"/>
    <xf numFmtId="0" fontId="12" fillId="0" borderId="0" xfId="0" applyNumberFormat="1" applyFont="1" applyAlignment="1"/>
    <xf numFmtId="0" fontId="12" fillId="0" borderId="0" xfId="0" applyNumberFormat="1" applyFont="1"/>
    <xf numFmtId="0" fontId="23" fillId="0" borderId="1" xfId="0" applyNumberFormat="1" applyFont="1" applyBorder="1"/>
    <xf numFmtId="0" fontId="22" fillId="0" borderId="1" xfId="0" applyFont="1" applyBorder="1" applyAlignment="1">
      <alignment vertical="center"/>
    </xf>
    <xf numFmtId="0" fontId="22" fillId="0" borderId="1" xfId="0" applyFont="1" applyBorder="1"/>
    <xf numFmtId="0" fontId="21" fillId="0" borderId="1" xfId="0" applyFont="1" applyBorder="1" applyAlignment="1">
      <alignment vertical="center"/>
    </xf>
    <xf numFmtId="0" fontId="24" fillId="0" borderId="1" xfId="0" applyNumberFormat="1" applyFont="1" applyBorder="1"/>
    <xf numFmtId="0" fontId="23" fillId="0" borderId="1" xfId="0" applyNumberFormat="1" applyFont="1" applyBorder="1" applyAlignment="1">
      <alignment wrapText="1"/>
    </xf>
    <xf numFmtId="0" fontId="1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3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5" fillId="0" borderId="0" xfId="0" applyNumberFormat="1" applyFont="1" applyAlignment="1">
      <alignment horizontal="center"/>
    </xf>
    <xf numFmtId="0" fontId="1" fillId="0" borderId="2" xfId="0" applyFont="1" applyBorder="1"/>
    <xf numFmtId="0" fontId="26" fillId="0" borderId="0" xfId="0" applyNumberFormat="1" applyFont="1" applyAlignment="1">
      <alignment horizontal="center"/>
    </xf>
    <xf numFmtId="0" fontId="22" fillId="0" borderId="1" xfId="0" applyNumberFormat="1" applyFont="1" applyBorder="1" applyAlignment="1">
      <alignment horizontal="center"/>
    </xf>
    <xf numFmtId="164" fontId="11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22" fillId="4" borderId="1" xfId="0" applyFont="1" applyFill="1" applyBorder="1" applyAlignment="1">
      <alignment vertical="center"/>
    </xf>
    <xf numFmtId="0" fontId="22" fillId="4" borderId="1" xfId="0" applyFont="1" applyFill="1" applyBorder="1" applyAlignment="1">
      <alignment horizontal="center"/>
    </xf>
    <xf numFmtId="0" fontId="11" fillId="4" borderId="1" xfId="0" applyFont="1" applyFill="1" applyBorder="1"/>
    <xf numFmtId="0" fontId="11" fillId="4" borderId="1" xfId="0" applyNumberFormat="1" applyFont="1" applyFill="1" applyBorder="1" applyAlignment="1">
      <alignment horizontal="center" vertical="center"/>
    </xf>
    <xf numFmtId="0" fontId="0" fillId="4" borderId="0" xfId="0" applyNumberFormat="1" applyFill="1"/>
    <xf numFmtId="0" fontId="11" fillId="4" borderId="1" xfId="0" applyNumberFormat="1" applyFont="1" applyFill="1" applyBorder="1" applyAlignment="1">
      <alignment horizontal="center"/>
    </xf>
    <xf numFmtId="0" fontId="11" fillId="4" borderId="1" xfId="0" applyNumberFormat="1" applyFont="1" applyFill="1" applyBorder="1"/>
    <xf numFmtId="0" fontId="11" fillId="4" borderId="0" xfId="0" applyNumberFormat="1" applyFont="1" applyFill="1"/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vertical="center"/>
    </xf>
    <xf numFmtId="0" fontId="21" fillId="4" borderId="0" xfId="0" applyNumberFormat="1" applyFont="1" applyFill="1"/>
    <xf numFmtId="0" fontId="21" fillId="4" borderId="1" xfId="0" applyNumberFormat="1" applyFont="1" applyFill="1" applyBorder="1"/>
    <xf numFmtId="0" fontId="3" fillId="4" borderId="1" xfId="0" applyFont="1" applyFill="1" applyBorder="1"/>
    <xf numFmtId="0" fontId="19" fillId="4" borderId="1" xfId="0" applyFont="1" applyFill="1" applyBorder="1" applyAlignment="1">
      <alignment vertical="center" wrapText="1"/>
    </xf>
    <xf numFmtId="0" fontId="21" fillId="4" borderId="1" xfId="0" applyNumberFormat="1" applyFont="1" applyFill="1" applyBorder="1" applyAlignment="1">
      <alignment horizontal="center" vertical="center"/>
    </xf>
    <xf numFmtId="0" fontId="21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vertical="center" wrapText="1"/>
    </xf>
    <xf numFmtId="0" fontId="22" fillId="4" borderId="1" xfId="0" applyNumberFormat="1" applyFont="1" applyFill="1" applyBorder="1" applyAlignment="1">
      <alignment horizontal="center" vertical="center"/>
    </xf>
    <xf numFmtId="0" fontId="17" fillId="0" borderId="0" xfId="0" applyFont="1"/>
    <xf numFmtId="0" fontId="1" fillId="0" borderId="0" xfId="0" applyFont="1"/>
    <xf numFmtId="0" fontId="18" fillId="0" borderId="0" xfId="0" applyFont="1" applyAlignment="1">
      <alignment horizontal="center"/>
    </xf>
    <xf numFmtId="0" fontId="3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readingOrder="2"/>
    </xf>
    <xf numFmtId="0" fontId="7" fillId="0" borderId="1" xfId="0" applyFont="1" applyFill="1" applyBorder="1" applyAlignment="1">
      <alignment horizontal="center" vertical="center" readingOrder="2"/>
    </xf>
    <xf numFmtId="0" fontId="5" fillId="0" borderId="1" xfId="0" applyFont="1" applyFill="1" applyBorder="1" applyAlignment="1">
      <alignment horizontal="center" vertical="center" readingOrder="2"/>
    </xf>
    <xf numFmtId="0" fontId="4" fillId="0" borderId="1" xfId="0" applyFont="1" applyFill="1" applyBorder="1" applyAlignment="1">
      <alignment horizontal="center" vertical="center" readingOrder="2"/>
    </xf>
    <xf numFmtId="1" fontId="3" fillId="0" borderId="0" xfId="0" applyNumberFormat="1" applyFont="1" applyFill="1" applyAlignment="1">
      <alignment vertical="center" readingOrder="2"/>
    </xf>
    <xf numFmtId="0" fontId="6" fillId="0" borderId="0" xfId="0" applyFont="1" applyFill="1" applyAlignment="1">
      <alignment readingOrder="2"/>
    </xf>
    <xf numFmtId="0" fontId="5" fillId="0" borderId="1" xfId="0" applyFont="1" applyFill="1" applyBorder="1" applyAlignment="1">
      <alignment horizontal="center" vertical="center" readingOrder="1"/>
    </xf>
    <xf numFmtId="164" fontId="3" fillId="0" borderId="1" xfId="0" applyNumberFormat="1" applyFont="1" applyFill="1" applyBorder="1" applyAlignment="1">
      <alignment horizontal="center" vertical="center" readingOrder="2"/>
    </xf>
    <xf numFmtId="0" fontId="3" fillId="0" borderId="1" xfId="0" applyFont="1" applyFill="1" applyBorder="1" applyAlignment="1">
      <alignment horizontal="center" vertical="center" wrapText="1" readingOrder="2"/>
    </xf>
    <xf numFmtId="164" fontId="3" fillId="0" borderId="2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readingOrder="2"/>
    </xf>
    <xf numFmtId="1" fontId="5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readingOrder="2"/>
    </xf>
    <xf numFmtId="0" fontId="3" fillId="0" borderId="0" xfId="0" applyFont="1" applyFill="1" applyAlignment="1">
      <alignment horizontal="center" vertical="center" readingOrder="2"/>
    </xf>
    <xf numFmtId="0" fontId="3" fillId="0" borderId="0" xfId="0" applyFont="1" applyFill="1" applyAlignment="1">
      <alignment readingOrder="2"/>
    </xf>
    <xf numFmtId="0" fontId="3" fillId="0" borderId="0" xfId="0" applyFont="1" applyFill="1" applyAlignment="1">
      <alignment horizontal="center" wrapText="1"/>
    </xf>
  </cellXfs>
  <cellStyles count="1">
    <cellStyle name="Normal" xfId="0" builtinId="0"/>
  </cellStyles>
  <dxfs count="21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opLeftCell="A13" zoomScale="90" zoomScaleNormal="90" workbookViewId="0">
      <selection activeCell="H29" sqref="H29"/>
    </sheetView>
  </sheetViews>
  <sheetFormatPr defaultRowHeight="15.75"/>
  <cols>
    <col min="2" max="2" width="18.625" customWidth="1"/>
    <col min="3" max="3" width="0" hidden="1" customWidth="1"/>
    <col min="5" max="15" width="9" style="98"/>
  </cols>
  <sheetData>
    <row r="1" spans="1:19" ht="168.75">
      <c r="A1" t="s">
        <v>0</v>
      </c>
      <c r="B1" s="111" t="s">
        <v>1</v>
      </c>
      <c r="C1" s="111" t="s">
        <v>2</v>
      </c>
      <c r="D1" s="111" t="s">
        <v>3</v>
      </c>
      <c r="E1" s="121" t="s">
        <v>47</v>
      </c>
      <c r="F1" s="121" t="s">
        <v>37</v>
      </c>
      <c r="G1" s="121" t="s">
        <v>43</v>
      </c>
      <c r="H1" s="121" t="s">
        <v>83</v>
      </c>
      <c r="I1" s="121" t="s">
        <v>89</v>
      </c>
      <c r="J1" s="121" t="s">
        <v>106</v>
      </c>
      <c r="K1" s="121" t="s">
        <v>153</v>
      </c>
      <c r="L1" s="121" t="s">
        <v>154</v>
      </c>
      <c r="M1" s="121" t="s">
        <v>116</v>
      </c>
      <c r="N1" s="121" t="s">
        <v>1288</v>
      </c>
      <c r="O1" s="121" t="s">
        <v>1289</v>
      </c>
    </row>
    <row r="2" spans="1:19" s="4" customFormat="1" hidden="1">
      <c r="E2" s="122" t="s">
        <v>174</v>
      </c>
      <c r="F2" s="122" t="s">
        <v>175</v>
      </c>
      <c r="G2" s="122" t="s">
        <v>176</v>
      </c>
      <c r="H2" s="122" t="s">
        <v>177</v>
      </c>
      <c r="I2" s="122" t="s">
        <v>178</v>
      </c>
      <c r="J2" s="122" t="s">
        <v>185</v>
      </c>
      <c r="K2" s="122" t="s">
        <v>186</v>
      </c>
      <c r="L2" s="122" t="s">
        <v>187</v>
      </c>
      <c r="M2" s="122" t="s">
        <v>188</v>
      </c>
      <c r="N2" s="122" t="s">
        <v>189</v>
      </c>
      <c r="O2" s="122" t="s">
        <v>190</v>
      </c>
    </row>
    <row r="3" spans="1:19" ht="19.5">
      <c r="A3" s="7">
        <v>1</v>
      </c>
      <c r="B3" s="11" t="s">
        <v>806</v>
      </c>
      <c r="C3" s="72" t="s">
        <v>807</v>
      </c>
      <c r="D3" s="73">
        <v>184</v>
      </c>
      <c r="E3" s="98">
        <v>95</v>
      </c>
      <c r="F3" s="98">
        <v>95</v>
      </c>
      <c r="G3" s="98">
        <v>97</v>
      </c>
      <c r="H3" s="98">
        <v>91</v>
      </c>
      <c r="I3" s="98">
        <v>83</v>
      </c>
      <c r="J3" s="98">
        <v>92</v>
      </c>
      <c r="K3" s="98">
        <v>93</v>
      </c>
      <c r="L3" s="98">
        <v>91</v>
      </c>
      <c r="M3" s="98">
        <v>87</v>
      </c>
      <c r="N3" s="98">
        <v>40</v>
      </c>
      <c r="O3" s="98">
        <v>38</v>
      </c>
      <c r="P3">
        <f t="shared" ref="P3:P30" si="0">SUM(E3:M3)</f>
        <v>824</v>
      </c>
      <c r="Q3">
        <v>80</v>
      </c>
      <c r="R3">
        <f>Q3/2</f>
        <v>40</v>
      </c>
      <c r="S3">
        <v>6</v>
      </c>
    </row>
    <row r="4" spans="1:19" ht="19.5">
      <c r="A4" s="7">
        <v>2</v>
      </c>
      <c r="B4" s="11" t="s">
        <v>835</v>
      </c>
      <c r="C4" s="72" t="s">
        <v>836</v>
      </c>
      <c r="D4" s="73">
        <v>281</v>
      </c>
      <c r="E4" s="98">
        <v>90</v>
      </c>
      <c r="F4" s="98">
        <v>92</v>
      </c>
      <c r="G4" s="98">
        <v>89</v>
      </c>
      <c r="H4" s="98">
        <v>82</v>
      </c>
      <c r="I4" s="98">
        <v>84</v>
      </c>
      <c r="J4" s="98">
        <v>85</v>
      </c>
      <c r="K4" s="98">
        <v>95</v>
      </c>
      <c r="L4" s="98">
        <v>81</v>
      </c>
      <c r="M4" s="98">
        <v>69</v>
      </c>
      <c r="N4" s="98">
        <v>40</v>
      </c>
      <c r="O4" s="98">
        <v>41</v>
      </c>
      <c r="P4">
        <f t="shared" si="0"/>
        <v>767</v>
      </c>
      <c r="Q4">
        <v>80</v>
      </c>
      <c r="R4">
        <f>Q4/2</f>
        <v>40</v>
      </c>
      <c r="S4">
        <v>22</v>
      </c>
    </row>
    <row r="5" spans="1:19" ht="19.5">
      <c r="A5" s="7">
        <v>3</v>
      </c>
      <c r="B5" s="11" t="s">
        <v>802</v>
      </c>
      <c r="C5" s="72" t="s">
        <v>803</v>
      </c>
      <c r="D5" s="73">
        <v>180</v>
      </c>
      <c r="E5" s="98">
        <v>86</v>
      </c>
      <c r="F5" s="98">
        <v>85</v>
      </c>
      <c r="G5" s="98">
        <v>86</v>
      </c>
      <c r="H5" s="98">
        <v>86</v>
      </c>
      <c r="I5" s="98">
        <v>71</v>
      </c>
      <c r="J5" s="98">
        <v>76</v>
      </c>
      <c r="K5" s="98">
        <v>84</v>
      </c>
      <c r="L5" s="98">
        <v>81</v>
      </c>
      <c r="M5" s="98">
        <v>70</v>
      </c>
      <c r="N5" s="98">
        <v>41</v>
      </c>
      <c r="O5" s="98">
        <v>31</v>
      </c>
      <c r="P5">
        <f t="shared" si="0"/>
        <v>725</v>
      </c>
      <c r="Q5">
        <v>82</v>
      </c>
      <c r="R5">
        <f>Q5/2</f>
        <v>41</v>
      </c>
      <c r="S5">
        <v>4</v>
      </c>
    </row>
    <row r="6" spans="1:19" ht="19.5">
      <c r="A6" s="7">
        <v>4</v>
      </c>
      <c r="B6" s="76" t="s">
        <v>800</v>
      </c>
      <c r="C6" s="174" t="s">
        <v>801</v>
      </c>
      <c r="D6" s="119">
        <v>178</v>
      </c>
      <c r="E6" s="98">
        <v>58</v>
      </c>
      <c r="F6" s="98">
        <v>74</v>
      </c>
      <c r="G6" s="98">
        <v>66</v>
      </c>
      <c r="H6" s="98">
        <v>74</v>
      </c>
      <c r="I6" s="98">
        <v>63</v>
      </c>
      <c r="J6" s="98">
        <v>68</v>
      </c>
      <c r="K6" s="98">
        <v>82</v>
      </c>
      <c r="L6" s="98">
        <v>76</v>
      </c>
      <c r="M6" s="98">
        <v>65</v>
      </c>
      <c r="N6" s="98">
        <v>45</v>
      </c>
      <c r="O6" s="98">
        <v>28</v>
      </c>
      <c r="P6">
        <f t="shared" si="0"/>
        <v>626</v>
      </c>
      <c r="Q6">
        <v>90</v>
      </c>
      <c r="R6">
        <f>Q6/2</f>
        <v>45</v>
      </c>
      <c r="S6">
        <v>3</v>
      </c>
    </row>
    <row r="7" spans="1:19" ht="19.5">
      <c r="A7" s="7">
        <v>5</v>
      </c>
      <c r="B7" s="11" t="s">
        <v>821</v>
      </c>
      <c r="C7" s="72" t="s">
        <v>822</v>
      </c>
      <c r="D7" s="74">
        <v>228</v>
      </c>
      <c r="E7" s="98">
        <v>68</v>
      </c>
      <c r="F7" s="98">
        <v>67</v>
      </c>
      <c r="G7" s="98">
        <v>69</v>
      </c>
      <c r="H7" s="98">
        <v>83</v>
      </c>
      <c r="I7" s="98">
        <v>67</v>
      </c>
      <c r="J7" s="98">
        <v>68</v>
      </c>
      <c r="K7" s="98">
        <v>79</v>
      </c>
      <c r="L7" s="98">
        <v>53</v>
      </c>
      <c r="M7" s="98">
        <v>53</v>
      </c>
      <c r="N7" s="98">
        <v>38</v>
      </c>
      <c r="O7" s="98">
        <v>32</v>
      </c>
      <c r="P7">
        <f t="shared" si="0"/>
        <v>607</v>
      </c>
      <c r="Q7">
        <v>75</v>
      </c>
      <c r="R7">
        <v>38</v>
      </c>
      <c r="S7">
        <v>14</v>
      </c>
    </row>
    <row r="8" spans="1:19" ht="19.5">
      <c r="A8" s="7">
        <v>6</v>
      </c>
      <c r="B8" s="77" t="s">
        <v>816</v>
      </c>
      <c r="C8" s="72" t="s">
        <v>817</v>
      </c>
      <c r="D8" s="74">
        <v>219</v>
      </c>
      <c r="E8" s="98">
        <v>72</v>
      </c>
      <c r="F8" s="98">
        <v>68</v>
      </c>
      <c r="G8" s="98">
        <v>56</v>
      </c>
      <c r="H8" s="98">
        <v>64</v>
      </c>
      <c r="I8" s="98">
        <v>61</v>
      </c>
      <c r="J8" s="98">
        <v>69</v>
      </c>
      <c r="K8" s="98">
        <v>61</v>
      </c>
      <c r="L8" s="98">
        <v>60</v>
      </c>
      <c r="M8" s="98">
        <v>52</v>
      </c>
      <c r="N8" s="98">
        <v>34</v>
      </c>
      <c r="O8" s="98">
        <v>42</v>
      </c>
      <c r="P8">
        <f t="shared" si="0"/>
        <v>563</v>
      </c>
      <c r="Q8">
        <v>68</v>
      </c>
      <c r="R8">
        <f t="shared" ref="R8:R13" si="1">Q8/2</f>
        <v>34</v>
      </c>
      <c r="S8">
        <v>11</v>
      </c>
    </row>
    <row r="9" spans="1:19" ht="19.5">
      <c r="A9" s="7">
        <v>7</v>
      </c>
      <c r="B9" s="11" t="s">
        <v>837</v>
      </c>
      <c r="C9" s="72" t="s">
        <v>838</v>
      </c>
      <c r="D9" s="73">
        <v>303</v>
      </c>
      <c r="E9" s="98">
        <v>60</v>
      </c>
      <c r="F9" s="98">
        <v>52</v>
      </c>
      <c r="G9" s="98">
        <v>56</v>
      </c>
      <c r="H9" s="98">
        <v>83</v>
      </c>
      <c r="I9" s="98">
        <v>63</v>
      </c>
      <c r="J9" s="98">
        <v>73</v>
      </c>
      <c r="K9" s="98">
        <v>61</v>
      </c>
      <c r="L9" s="98">
        <v>54</v>
      </c>
      <c r="M9" s="98">
        <v>55</v>
      </c>
      <c r="N9" s="98">
        <v>40</v>
      </c>
      <c r="O9" s="98">
        <v>7</v>
      </c>
      <c r="P9">
        <f t="shared" si="0"/>
        <v>557</v>
      </c>
      <c r="Q9">
        <v>80</v>
      </c>
      <c r="R9">
        <f t="shared" si="1"/>
        <v>40</v>
      </c>
      <c r="S9">
        <v>23</v>
      </c>
    </row>
    <row r="10" spans="1:19" ht="19.5">
      <c r="A10" s="7">
        <v>8</v>
      </c>
      <c r="B10" s="77" t="s">
        <v>640</v>
      </c>
      <c r="C10" s="78" t="s">
        <v>820</v>
      </c>
      <c r="D10" s="74">
        <v>224</v>
      </c>
      <c r="E10" s="98">
        <v>45</v>
      </c>
      <c r="F10" s="98">
        <v>55</v>
      </c>
      <c r="G10" s="98">
        <v>62</v>
      </c>
      <c r="H10" s="98">
        <v>66</v>
      </c>
      <c r="I10" s="98">
        <v>59</v>
      </c>
      <c r="J10" s="98">
        <v>62</v>
      </c>
      <c r="K10" s="98">
        <v>66</v>
      </c>
      <c r="L10" s="98">
        <v>57</v>
      </c>
      <c r="M10" s="98">
        <v>49</v>
      </c>
      <c r="N10" s="98">
        <v>39</v>
      </c>
      <c r="O10" s="98">
        <v>20</v>
      </c>
      <c r="P10">
        <f t="shared" si="0"/>
        <v>521</v>
      </c>
      <c r="Q10">
        <v>78</v>
      </c>
      <c r="R10">
        <f t="shared" si="1"/>
        <v>39</v>
      </c>
      <c r="S10">
        <v>13</v>
      </c>
    </row>
    <row r="11" spans="1:19" ht="19.5">
      <c r="A11" s="7">
        <v>9</v>
      </c>
      <c r="B11" s="77" t="s">
        <v>828</v>
      </c>
      <c r="C11" s="72" t="s">
        <v>829</v>
      </c>
      <c r="D11" s="74">
        <v>233</v>
      </c>
      <c r="E11" s="98">
        <v>61</v>
      </c>
      <c r="F11" s="98">
        <v>45</v>
      </c>
      <c r="G11" s="98">
        <v>47</v>
      </c>
      <c r="H11" s="98">
        <v>59</v>
      </c>
      <c r="I11" s="98">
        <v>52</v>
      </c>
      <c r="J11" s="98">
        <v>69</v>
      </c>
      <c r="K11" s="98">
        <v>62</v>
      </c>
      <c r="L11" s="98">
        <v>60</v>
      </c>
      <c r="M11" s="98">
        <v>52</v>
      </c>
      <c r="N11" s="98">
        <v>35</v>
      </c>
      <c r="O11" s="98">
        <v>45</v>
      </c>
      <c r="P11">
        <f t="shared" si="0"/>
        <v>507</v>
      </c>
      <c r="Q11">
        <v>70</v>
      </c>
      <c r="R11">
        <f t="shared" si="1"/>
        <v>35</v>
      </c>
      <c r="S11">
        <v>18</v>
      </c>
    </row>
    <row r="12" spans="1:19" ht="19.5">
      <c r="A12" s="7">
        <v>10</v>
      </c>
      <c r="B12" s="11" t="s">
        <v>798</v>
      </c>
      <c r="C12" s="72" t="s">
        <v>799</v>
      </c>
      <c r="D12" s="73">
        <v>137</v>
      </c>
      <c r="E12" s="98">
        <v>43</v>
      </c>
      <c r="F12" s="98">
        <v>40</v>
      </c>
      <c r="G12" s="98">
        <v>70</v>
      </c>
      <c r="H12" s="98">
        <v>68</v>
      </c>
      <c r="I12" s="98">
        <v>57</v>
      </c>
      <c r="J12" s="98">
        <v>69</v>
      </c>
      <c r="K12" s="98">
        <v>66</v>
      </c>
      <c r="L12" s="98">
        <v>43</v>
      </c>
      <c r="M12" s="98">
        <v>42</v>
      </c>
      <c r="N12" s="98">
        <v>34</v>
      </c>
      <c r="O12" s="98">
        <v>37</v>
      </c>
      <c r="P12">
        <f t="shared" si="0"/>
        <v>498</v>
      </c>
      <c r="Q12">
        <v>68</v>
      </c>
      <c r="R12">
        <f t="shared" si="1"/>
        <v>34</v>
      </c>
      <c r="S12">
        <v>2</v>
      </c>
    </row>
    <row r="13" spans="1:19" ht="19.5">
      <c r="A13" s="7">
        <v>11</v>
      </c>
      <c r="B13" s="11" t="s">
        <v>832</v>
      </c>
      <c r="C13" s="72" t="s">
        <v>833</v>
      </c>
      <c r="D13" s="73">
        <v>260</v>
      </c>
      <c r="E13" s="98">
        <v>47</v>
      </c>
      <c r="F13" s="98">
        <v>62</v>
      </c>
      <c r="G13" s="98">
        <v>46</v>
      </c>
      <c r="H13" s="98">
        <v>60</v>
      </c>
      <c r="I13" s="98">
        <v>50</v>
      </c>
      <c r="J13" s="98">
        <v>54</v>
      </c>
      <c r="K13" s="98">
        <v>59</v>
      </c>
      <c r="L13" s="98">
        <v>47</v>
      </c>
      <c r="M13" s="98">
        <v>52</v>
      </c>
      <c r="N13" s="98">
        <v>40</v>
      </c>
      <c r="O13" s="98">
        <v>34</v>
      </c>
      <c r="P13">
        <f t="shared" si="0"/>
        <v>477</v>
      </c>
      <c r="Q13">
        <v>80</v>
      </c>
      <c r="R13">
        <f t="shared" si="1"/>
        <v>40</v>
      </c>
      <c r="S13">
        <v>20</v>
      </c>
    </row>
    <row r="14" spans="1:19" ht="19.5">
      <c r="A14" s="7">
        <v>12</v>
      </c>
      <c r="B14" s="11" t="s">
        <v>804</v>
      </c>
      <c r="C14" s="72" t="s">
        <v>805</v>
      </c>
      <c r="D14" s="73">
        <v>183</v>
      </c>
      <c r="E14" s="98">
        <v>35</v>
      </c>
      <c r="F14" s="98">
        <v>52</v>
      </c>
      <c r="G14" s="98">
        <v>49</v>
      </c>
      <c r="H14" s="98">
        <v>65</v>
      </c>
      <c r="I14" s="98">
        <v>48</v>
      </c>
      <c r="J14" s="98">
        <v>57</v>
      </c>
      <c r="K14" s="98">
        <v>63</v>
      </c>
      <c r="L14" s="98">
        <v>42</v>
      </c>
      <c r="M14" s="98">
        <v>47</v>
      </c>
      <c r="N14" s="98">
        <v>38</v>
      </c>
      <c r="O14" s="98">
        <v>31</v>
      </c>
      <c r="P14">
        <f t="shared" si="0"/>
        <v>458</v>
      </c>
      <c r="Q14">
        <v>75</v>
      </c>
      <c r="R14">
        <v>38</v>
      </c>
      <c r="S14">
        <v>5</v>
      </c>
    </row>
    <row r="15" spans="1:19" ht="19.5">
      <c r="A15" s="7">
        <v>13</v>
      </c>
      <c r="B15" s="11" t="s">
        <v>808</v>
      </c>
      <c r="C15" s="72" t="s">
        <v>809</v>
      </c>
      <c r="D15" s="73">
        <v>199</v>
      </c>
      <c r="E15" s="98">
        <v>39</v>
      </c>
      <c r="F15" s="98">
        <v>50</v>
      </c>
      <c r="G15" s="98">
        <v>54</v>
      </c>
      <c r="H15" s="98">
        <v>35</v>
      </c>
      <c r="I15" s="98">
        <v>42</v>
      </c>
      <c r="J15" s="98">
        <v>50</v>
      </c>
      <c r="K15" s="98">
        <v>74</v>
      </c>
      <c r="L15" s="98">
        <v>52</v>
      </c>
      <c r="M15" s="98">
        <v>54</v>
      </c>
      <c r="N15" s="98">
        <v>40</v>
      </c>
      <c r="O15" s="98">
        <v>36</v>
      </c>
      <c r="P15">
        <f t="shared" si="0"/>
        <v>450</v>
      </c>
      <c r="Q15">
        <v>80</v>
      </c>
      <c r="R15">
        <f>Q15/2</f>
        <v>40</v>
      </c>
      <c r="S15">
        <v>7</v>
      </c>
    </row>
    <row r="16" spans="1:19" ht="19.5">
      <c r="A16" s="7">
        <v>14</v>
      </c>
      <c r="B16" s="11" t="s">
        <v>847</v>
      </c>
      <c r="C16" s="72" t="s">
        <v>848</v>
      </c>
      <c r="D16" s="73">
        <v>466</v>
      </c>
      <c r="E16" s="98">
        <v>39</v>
      </c>
      <c r="F16" s="98">
        <v>30</v>
      </c>
      <c r="G16" s="98">
        <v>52</v>
      </c>
      <c r="H16" s="98">
        <v>57</v>
      </c>
      <c r="I16" s="98">
        <v>47</v>
      </c>
      <c r="J16" s="98">
        <v>43</v>
      </c>
      <c r="K16" s="98">
        <v>61</v>
      </c>
      <c r="L16" s="98">
        <v>45</v>
      </c>
      <c r="M16" s="98">
        <v>52</v>
      </c>
      <c r="N16" s="98">
        <v>40</v>
      </c>
      <c r="O16" s="98">
        <v>35</v>
      </c>
      <c r="P16">
        <f t="shared" si="0"/>
        <v>426</v>
      </c>
      <c r="Q16">
        <v>80</v>
      </c>
      <c r="R16">
        <f>Q16/2</f>
        <v>40</v>
      </c>
      <c r="S16">
        <v>28</v>
      </c>
    </row>
    <row r="17" spans="1:19" ht="19.5">
      <c r="A17" s="7">
        <v>15</v>
      </c>
      <c r="B17" s="77" t="s">
        <v>818</v>
      </c>
      <c r="C17" s="72" t="s">
        <v>819</v>
      </c>
      <c r="D17" s="74">
        <v>223</v>
      </c>
      <c r="E17" s="98">
        <v>25</v>
      </c>
      <c r="F17" s="98">
        <v>40</v>
      </c>
      <c r="G17" s="98">
        <v>38</v>
      </c>
      <c r="H17" s="98">
        <v>58</v>
      </c>
      <c r="I17" s="98">
        <v>45</v>
      </c>
      <c r="J17" s="98">
        <v>50</v>
      </c>
      <c r="K17" s="98">
        <v>60</v>
      </c>
      <c r="L17" s="98">
        <v>35</v>
      </c>
      <c r="M17" s="98">
        <v>35</v>
      </c>
      <c r="N17" s="98">
        <v>38</v>
      </c>
      <c r="O17" s="98">
        <v>26</v>
      </c>
      <c r="P17">
        <f t="shared" si="0"/>
        <v>386</v>
      </c>
      <c r="Q17">
        <v>76</v>
      </c>
      <c r="R17">
        <f>Q17/2</f>
        <v>38</v>
      </c>
      <c r="S17">
        <v>12</v>
      </c>
    </row>
    <row r="18" spans="1:19" ht="19.5">
      <c r="A18" s="7">
        <v>16</v>
      </c>
      <c r="B18" s="11" t="s">
        <v>845</v>
      </c>
      <c r="C18" s="72" t="s">
        <v>846</v>
      </c>
      <c r="D18" s="73">
        <v>444</v>
      </c>
      <c r="E18" s="98">
        <v>35</v>
      </c>
      <c r="F18" s="98">
        <v>16</v>
      </c>
      <c r="G18" s="98">
        <v>35</v>
      </c>
      <c r="H18" s="98">
        <v>43</v>
      </c>
      <c r="I18" s="98">
        <v>45</v>
      </c>
      <c r="J18" s="98">
        <v>41</v>
      </c>
      <c r="K18" s="98">
        <v>53</v>
      </c>
      <c r="L18" s="98">
        <v>36</v>
      </c>
      <c r="M18" s="98">
        <v>35</v>
      </c>
      <c r="N18" s="98">
        <v>40</v>
      </c>
      <c r="O18" s="98">
        <v>21</v>
      </c>
      <c r="P18">
        <f t="shared" si="0"/>
        <v>339</v>
      </c>
      <c r="Q18">
        <v>80</v>
      </c>
      <c r="R18">
        <f>Q18/2</f>
        <v>40</v>
      </c>
      <c r="S18">
        <v>27</v>
      </c>
    </row>
    <row r="19" spans="1:19" ht="19.5">
      <c r="A19" s="7">
        <v>17</v>
      </c>
      <c r="B19" s="11" t="s">
        <v>843</v>
      </c>
      <c r="C19" s="72" t="s">
        <v>844</v>
      </c>
      <c r="D19" s="73">
        <v>426</v>
      </c>
      <c r="E19" s="98">
        <v>26</v>
      </c>
      <c r="F19" s="98">
        <v>35</v>
      </c>
      <c r="G19" s="98">
        <v>42</v>
      </c>
      <c r="H19" s="98">
        <v>35</v>
      </c>
      <c r="I19" s="98">
        <v>37</v>
      </c>
      <c r="J19" s="98">
        <v>45</v>
      </c>
      <c r="K19" s="98">
        <v>42</v>
      </c>
      <c r="L19" s="98">
        <v>35</v>
      </c>
      <c r="M19" s="98">
        <v>35</v>
      </c>
      <c r="N19" s="98">
        <v>28</v>
      </c>
      <c r="O19" s="98">
        <v>22</v>
      </c>
      <c r="P19">
        <f t="shared" si="0"/>
        <v>332</v>
      </c>
      <c r="Q19">
        <v>55</v>
      </c>
      <c r="R19">
        <v>28</v>
      </c>
      <c r="S19">
        <v>26</v>
      </c>
    </row>
    <row r="20" spans="1:19" ht="19.5">
      <c r="A20" s="7">
        <v>18</v>
      </c>
      <c r="B20" s="11" t="s">
        <v>491</v>
      </c>
      <c r="C20" s="72" t="s">
        <v>834</v>
      </c>
      <c r="D20" s="73">
        <v>264</v>
      </c>
      <c r="E20" s="98">
        <v>30</v>
      </c>
      <c r="F20" s="98">
        <v>36</v>
      </c>
      <c r="G20" s="98">
        <v>35</v>
      </c>
      <c r="H20" s="98">
        <v>39</v>
      </c>
      <c r="I20" s="98">
        <v>35</v>
      </c>
      <c r="J20" s="98">
        <v>35</v>
      </c>
      <c r="K20" s="98">
        <v>37</v>
      </c>
      <c r="L20" s="98">
        <v>36</v>
      </c>
      <c r="M20" s="98">
        <v>39</v>
      </c>
      <c r="N20" s="98">
        <v>35</v>
      </c>
      <c r="O20" s="98">
        <v>20</v>
      </c>
      <c r="P20">
        <f t="shared" si="0"/>
        <v>322</v>
      </c>
      <c r="Q20">
        <v>70</v>
      </c>
      <c r="R20">
        <f>Q20/2</f>
        <v>35</v>
      </c>
      <c r="S20">
        <v>21</v>
      </c>
    </row>
    <row r="21" spans="1:19" ht="19.5">
      <c r="A21" s="7">
        <v>19</v>
      </c>
      <c r="B21" s="11" t="s">
        <v>849</v>
      </c>
      <c r="C21" s="72" t="s">
        <v>850</v>
      </c>
      <c r="D21" s="73">
        <v>467</v>
      </c>
      <c r="E21" s="98">
        <v>22</v>
      </c>
      <c r="F21" s="98">
        <v>21</v>
      </c>
      <c r="G21" s="98">
        <v>36</v>
      </c>
      <c r="H21" s="98">
        <v>27</v>
      </c>
      <c r="I21" s="98">
        <v>30</v>
      </c>
      <c r="J21" s="98">
        <v>48</v>
      </c>
      <c r="K21" s="98">
        <v>42</v>
      </c>
      <c r="L21" s="98">
        <v>41</v>
      </c>
      <c r="M21" s="98">
        <v>35</v>
      </c>
      <c r="N21" s="98">
        <v>37</v>
      </c>
      <c r="O21" s="98">
        <v>20</v>
      </c>
      <c r="P21">
        <f>SUM(E21:M21)</f>
        <v>302</v>
      </c>
      <c r="Q21">
        <v>73</v>
      </c>
      <c r="R21">
        <v>37</v>
      </c>
      <c r="S21">
        <v>29</v>
      </c>
    </row>
    <row r="22" spans="1:19" ht="19.5">
      <c r="A22" s="7">
        <v>20</v>
      </c>
      <c r="B22" s="11" t="s">
        <v>841</v>
      </c>
      <c r="C22" s="72" t="s">
        <v>842</v>
      </c>
      <c r="D22" s="73">
        <v>425</v>
      </c>
      <c r="E22" s="98">
        <v>24</v>
      </c>
      <c r="F22" s="98">
        <v>35</v>
      </c>
      <c r="G22" s="98">
        <v>25</v>
      </c>
      <c r="H22" s="98">
        <v>35</v>
      </c>
      <c r="I22" s="98">
        <v>35</v>
      </c>
      <c r="J22" s="98">
        <v>45</v>
      </c>
      <c r="K22" s="98">
        <v>33</v>
      </c>
      <c r="L22" s="98">
        <v>36</v>
      </c>
      <c r="M22" s="98">
        <v>26</v>
      </c>
      <c r="N22" s="98">
        <v>29</v>
      </c>
      <c r="O22" s="98">
        <v>20</v>
      </c>
      <c r="P22">
        <f t="shared" si="0"/>
        <v>294</v>
      </c>
      <c r="Q22">
        <v>58</v>
      </c>
      <c r="R22">
        <f>Q22/2</f>
        <v>29</v>
      </c>
      <c r="S22">
        <v>25</v>
      </c>
    </row>
    <row r="23" spans="1:19" ht="19.5">
      <c r="A23" s="7">
        <v>21</v>
      </c>
      <c r="B23" s="77" t="s">
        <v>827</v>
      </c>
      <c r="C23" s="72" t="s">
        <v>824</v>
      </c>
      <c r="D23" s="74">
        <v>232</v>
      </c>
      <c r="E23" s="98">
        <v>35</v>
      </c>
      <c r="F23" s="98">
        <v>21</v>
      </c>
      <c r="G23" s="98">
        <v>14</v>
      </c>
      <c r="H23" s="98">
        <v>21</v>
      </c>
      <c r="I23" s="98">
        <v>31</v>
      </c>
      <c r="J23" s="98">
        <v>35</v>
      </c>
      <c r="K23" s="98">
        <v>34</v>
      </c>
      <c r="L23" s="98">
        <v>39</v>
      </c>
      <c r="M23" s="98">
        <v>20</v>
      </c>
      <c r="N23" s="98">
        <v>26</v>
      </c>
      <c r="O23" s="98">
        <v>17</v>
      </c>
      <c r="P23">
        <f t="shared" si="0"/>
        <v>250</v>
      </c>
      <c r="Q23">
        <v>52</v>
      </c>
      <c r="R23">
        <f t="shared" ref="R23:R29" si="2">Q23/2</f>
        <v>26</v>
      </c>
      <c r="S23">
        <v>17</v>
      </c>
    </row>
    <row r="24" spans="1:19" ht="19.5">
      <c r="A24" s="7">
        <v>22</v>
      </c>
      <c r="B24" s="77" t="s">
        <v>823</v>
      </c>
      <c r="C24" s="72" t="s">
        <v>824</v>
      </c>
      <c r="D24" s="74">
        <v>230</v>
      </c>
      <c r="E24" s="98">
        <v>35</v>
      </c>
      <c r="F24" s="98">
        <v>20</v>
      </c>
      <c r="G24" s="98">
        <v>24</v>
      </c>
      <c r="H24" s="98">
        <v>18</v>
      </c>
      <c r="I24" s="98">
        <v>28</v>
      </c>
      <c r="J24" s="98">
        <v>29</v>
      </c>
      <c r="K24" s="98">
        <v>40</v>
      </c>
      <c r="L24" s="98">
        <v>27</v>
      </c>
      <c r="M24" s="98">
        <v>21</v>
      </c>
      <c r="N24" s="98">
        <v>28</v>
      </c>
      <c r="O24" s="98">
        <v>17</v>
      </c>
      <c r="P24">
        <f t="shared" si="0"/>
        <v>242</v>
      </c>
      <c r="Q24">
        <v>56</v>
      </c>
      <c r="R24">
        <f t="shared" si="2"/>
        <v>28</v>
      </c>
      <c r="S24">
        <v>15</v>
      </c>
    </row>
    <row r="25" spans="1:19" ht="19.5">
      <c r="A25" s="7">
        <v>23</v>
      </c>
      <c r="B25" s="11" t="s">
        <v>839</v>
      </c>
      <c r="C25" s="72" t="s">
        <v>840</v>
      </c>
      <c r="D25" s="73">
        <v>347</v>
      </c>
      <c r="E25" s="98">
        <v>21</v>
      </c>
      <c r="F25" s="98">
        <v>18</v>
      </c>
      <c r="G25" s="98">
        <v>27</v>
      </c>
      <c r="H25" s="98">
        <v>24</v>
      </c>
      <c r="I25" s="98">
        <v>24</v>
      </c>
      <c r="J25" s="98">
        <v>35</v>
      </c>
      <c r="K25" s="98">
        <v>35</v>
      </c>
      <c r="L25" s="98">
        <v>18</v>
      </c>
      <c r="M25" s="98">
        <v>24</v>
      </c>
      <c r="N25" s="98">
        <v>40</v>
      </c>
      <c r="O25" s="98">
        <v>12</v>
      </c>
      <c r="P25">
        <f t="shared" si="0"/>
        <v>226</v>
      </c>
      <c r="Q25">
        <v>80</v>
      </c>
      <c r="R25">
        <f t="shared" si="2"/>
        <v>40</v>
      </c>
      <c r="S25">
        <v>24</v>
      </c>
    </row>
    <row r="26" spans="1:19" ht="19.5">
      <c r="A26" s="7">
        <v>24</v>
      </c>
      <c r="B26" s="11" t="s">
        <v>812</v>
      </c>
      <c r="C26" s="72" t="s">
        <v>813</v>
      </c>
      <c r="D26" s="73">
        <v>204</v>
      </c>
      <c r="E26" s="98">
        <v>8</v>
      </c>
      <c r="F26" s="98">
        <v>12</v>
      </c>
      <c r="G26" s="98">
        <v>23</v>
      </c>
      <c r="H26" s="98">
        <v>13</v>
      </c>
      <c r="I26" s="98">
        <v>35</v>
      </c>
      <c r="J26" s="98">
        <v>16</v>
      </c>
      <c r="K26" s="98">
        <v>33</v>
      </c>
      <c r="L26" s="98">
        <v>21</v>
      </c>
      <c r="M26" s="98">
        <v>14</v>
      </c>
      <c r="N26" s="98">
        <v>30</v>
      </c>
      <c r="O26" s="98">
        <v>30</v>
      </c>
      <c r="P26">
        <f t="shared" si="0"/>
        <v>175</v>
      </c>
      <c r="Q26">
        <v>60</v>
      </c>
      <c r="R26">
        <f t="shared" si="2"/>
        <v>30</v>
      </c>
      <c r="S26">
        <v>9</v>
      </c>
    </row>
    <row r="27" spans="1:19" ht="19.5">
      <c r="A27" s="7">
        <v>25</v>
      </c>
      <c r="B27" s="11" t="s">
        <v>765</v>
      </c>
      <c r="C27" s="72" t="s">
        <v>851</v>
      </c>
      <c r="D27" s="73">
        <v>519</v>
      </c>
      <c r="E27" s="98">
        <v>27</v>
      </c>
      <c r="F27" s="98">
        <v>14</v>
      </c>
      <c r="G27" s="98">
        <v>16</v>
      </c>
      <c r="H27" s="98">
        <v>13</v>
      </c>
      <c r="I27" s="98">
        <v>28</v>
      </c>
      <c r="J27" s="98">
        <v>15</v>
      </c>
      <c r="K27" s="98">
        <v>24</v>
      </c>
      <c r="L27" s="98">
        <v>21</v>
      </c>
      <c r="M27" s="98">
        <v>15</v>
      </c>
      <c r="N27" s="98">
        <v>39</v>
      </c>
      <c r="O27" s="98">
        <v>22</v>
      </c>
      <c r="P27">
        <f t="shared" si="0"/>
        <v>173</v>
      </c>
      <c r="Q27">
        <v>78</v>
      </c>
      <c r="R27">
        <f t="shared" si="2"/>
        <v>39</v>
      </c>
      <c r="S27">
        <v>30</v>
      </c>
    </row>
    <row r="28" spans="1:19" ht="19.5">
      <c r="A28" s="7">
        <v>26</v>
      </c>
      <c r="B28" s="77" t="s">
        <v>825</v>
      </c>
      <c r="C28" s="72" t="s">
        <v>826</v>
      </c>
      <c r="D28" s="74">
        <v>231</v>
      </c>
      <c r="E28" s="98">
        <v>18</v>
      </c>
      <c r="F28" s="98">
        <v>8</v>
      </c>
      <c r="G28" s="98">
        <v>10</v>
      </c>
      <c r="H28" s="98">
        <v>22</v>
      </c>
      <c r="I28" s="98">
        <v>25</v>
      </c>
      <c r="J28" s="98">
        <v>19</v>
      </c>
      <c r="K28" s="98">
        <v>12</v>
      </c>
      <c r="L28" s="98">
        <v>17</v>
      </c>
      <c r="M28" s="98">
        <v>16</v>
      </c>
      <c r="N28" s="98">
        <v>35</v>
      </c>
      <c r="O28" s="98">
        <v>17</v>
      </c>
      <c r="P28">
        <f t="shared" si="0"/>
        <v>147</v>
      </c>
      <c r="Q28">
        <v>70</v>
      </c>
      <c r="R28">
        <f t="shared" si="2"/>
        <v>35</v>
      </c>
      <c r="S28">
        <v>16</v>
      </c>
    </row>
    <row r="29" spans="1:19" ht="19.5">
      <c r="A29" s="7">
        <v>27</v>
      </c>
      <c r="B29" s="11" t="s">
        <v>814</v>
      </c>
      <c r="C29" s="72" t="s">
        <v>815</v>
      </c>
      <c r="D29" s="73">
        <v>205</v>
      </c>
      <c r="E29" s="98">
        <v>2</v>
      </c>
      <c r="F29" s="98">
        <v>13</v>
      </c>
      <c r="G29" s="98">
        <v>20</v>
      </c>
      <c r="H29" s="98">
        <v>12</v>
      </c>
      <c r="I29" s="98">
        <v>24</v>
      </c>
      <c r="J29" s="98">
        <v>15</v>
      </c>
      <c r="K29" s="98">
        <v>14</v>
      </c>
      <c r="L29" s="98">
        <v>12</v>
      </c>
      <c r="M29" s="98">
        <v>26</v>
      </c>
      <c r="N29" s="98">
        <v>30</v>
      </c>
      <c r="O29" s="98">
        <v>31</v>
      </c>
      <c r="P29">
        <f t="shared" si="0"/>
        <v>138</v>
      </c>
      <c r="Q29">
        <v>60</v>
      </c>
      <c r="R29">
        <f t="shared" si="2"/>
        <v>30</v>
      </c>
      <c r="S29">
        <v>10</v>
      </c>
    </row>
    <row r="30" spans="1:19" ht="19.5">
      <c r="A30" s="7">
        <v>28</v>
      </c>
      <c r="B30" s="11" t="s">
        <v>810</v>
      </c>
      <c r="C30" s="72" t="s">
        <v>811</v>
      </c>
      <c r="D30" s="73">
        <v>203</v>
      </c>
      <c r="E30" s="98">
        <v>5</v>
      </c>
      <c r="F30" s="98">
        <v>0</v>
      </c>
      <c r="G30" s="98">
        <v>12</v>
      </c>
      <c r="H30" s="98">
        <v>10</v>
      </c>
      <c r="I30" s="98">
        <v>10</v>
      </c>
      <c r="J30" s="98">
        <v>5</v>
      </c>
      <c r="K30" s="98">
        <v>15</v>
      </c>
      <c r="L30" s="98">
        <v>10</v>
      </c>
      <c r="M30" s="98">
        <v>7</v>
      </c>
      <c r="N30" s="98">
        <v>28</v>
      </c>
      <c r="O30" s="98">
        <v>17</v>
      </c>
      <c r="P30">
        <f t="shared" si="0"/>
        <v>74</v>
      </c>
      <c r="Q30">
        <v>55</v>
      </c>
      <c r="R30">
        <v>28</v>
      </c>
      <c r="S30">
        <v>8</v>
      </c>
    </row>
    <row r="31" spans="1:19" ht="19.5">
      <c r="A31" s="7">
        <v>29</v>
      </c>
      <c r="B31" s="11" t="s">
        <v>796</v>
      </c>
      <c r="C31" s="72" t="s">
        <v>797</v>
      </c>
      <c r="D31" s="73">
        <v>55</v>
      </c>
      <c r="E31" s="98">
        <v>82</v>
      </c>
      <c r="F31" s="98">
        <v>58</v>
      </c>
      <c r="G31" s="98">
        <v>89</v>
      </c>
      <c r="I31" s="98" t="s">
        <v>1231</v>
      </c>
      <c r="J31" s="98">
        <v>81</v>
      </c>
      <c r="K31" s="98">
        <v>95</v>
      </c>
      <c r="L31" s="98" t="s">
        <v>1231</v>
      </c>
      <c r="N31" s="98">
        <v>45</v>
      </c>
      <c r="O31" s="98">
        <v>34</v>
      </c>
      <c r="Q31">
        <v>90</v>
      </c>
      <c r="R31">
        <f>Q31/2</f>
        <v>45</v>
      </c>
      <c r="S31">
        <v>1</v>
      </c>
    </row>
    <row r="32" spans="1:19" ht="19.5">
      <c r="A32" s="7">
        <v>30</v>
      </c>
      <c r="B32" s="133" t="s">
        <v>830</v>
      </c>
      <c r="C32" s="131" t="s">
        <v>831</v>
      </c>
      <c r="D32" s="134">
        <v>249</v>
      </c>
      <c r="E32" s="175">
        <v>50</v>
      </c>
      <c r="F32" s="175">
        <v>52</v>
      </c>
      <c r="G32" s="175">
        <v>51</v>
      </c>
      <c r="H32" s="175">
        <v>60</v>
      </c>
      <c r="I32" s="175">
        <v>70</v>
      </c>
      <c r="J32" s="175">
        <v>60</v>
      </c>
      <c r="K32" s="175">
        <v>61</v>
      </c>
      <c r="L32" s="175">
        <v>63</v>
      </c>
      <c r="M32" s="175">
        <v>55</v>
      </c>
      <c r="N32" s="175">
        <v>28</v>
      </c>
      <c r="O32" s="175">
        <v>28</v>
      </c>
      <c r="P32">
        <f>SUM(E32:M32)</f>
        <v>522</v>
      </c>
      <c r="S32">
        <v>19</v>
      </c>
    </row>
  </sheetData>
  <sortState ref="A1:R32">
    <sortCondition descending="1" ref="P4"/>
  </sortState>
  <conditionalFormatting sqref="E3:M3 E1:M1 E5:M32">
    <cfRule type="cellIs" dxfId="20" priority="1" operator="lessThan">
      <formula>35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34"/>
  <sheetViews>
    <sheetView zoomScale="85" zoomScaleNormal="85" workbookViewId="0">
      <selection activeCell="A11" sqref="A11"/>
    </sheetView>
  </sheetViews>
  <sheetFormatPr defaultRowHeight="15.75"/>
  <cols>
    <col min="1" max="1" width="9" style="98"/>
    <col min="5" max="15" width="9" style="98"/>
  </cols>
  <sheetData>
    <row r="1" spans="1:19" ht="126">
      <c r="A1" s="98" t="s">
        <v>0</v>
      </c>
      <c r="B1" t="s">
        <v>1</v>
      </c>
      <c r="C1" t="s">
        <v>2</v>
      </c>
      <c r="D1" t="s">
        <v>3</v>
      </c>
      <c r="E1" s="121" t="s">
        <v>44</v>
      </c>
      <c r="F1" s="121" t="s">
        <v>1283</v>
      </c>
      <c r="G1" s="121" t="s">
        <v>91</v>
      </c>
      <c r="H1" s="121" t="s">
        <v>107</v>
      </c>
      <c r="I1" s="121" t="s">
        <v>117</v>
      </c>
      <c r="J1" s="121" t="s">
        <v>155</v>
      </c>
      <c r="K1" s="121" t="s">
        <v>113</v>
      </c>
      <c r="L1" s="121" t="s">
        <v>88</v>
      </c>
      <c r="M1" s="121" t="s">
        <v>1288</v>
      </c>
      <c r="N1" s="121" t="s">
        <v>1289</v>
      </c>
      <c r="O1" s="121"/>
    </row>
    <row r="2" spans="1:19" s="4" customFormat="1" hidden="1">
      <c r="A2" s="122"/>
      <c r="E2" s="122" t="s">
        <v>192</v>
      </c>
      <c r="F2" s="122" t="s">
        <v>193</v>
      </c>
      <c r="G2" s="122" t="s">
        <v>194</v>
      </c>
      <c r="H2" s="122" t="s">
        <v>195</v>
      </c>
      <c r="I2" s="122" t="s">
        <v>196</v>
      </c>
      <c r="J2" s="122" t="s">
        <v>198</v>
      </c>
      <c r="K2" s="122" t="s">
        <v>197</v>
      </c>
      <c r="L2" s="122" t="s">
        <v>199</v>
      </c>
      <c r="M2" s="122" t="s">
        <v>205</v>
      </c>
      <c r="N2" s="122" t="s">
        <v>206</v>
      </c>
      <c r="O2" s="122"/>
    </row>
    <row r="3" spans="1:19" ht="19.5">
      <c r="A3" s="98">
        <v>1</v>
      </c>
      <c r="B3" s="11" t="s">
        <v>1226</v>
      </c>
      <c r="C3" s="72" t="s">
        <v>1227</v>
      </c>
      <c r="D3" s="73">
        <v>502</v>
      </c>
      <c r="E3" s="98">
        <v>87</v>
      </c>
      <c r="F3" s="98">
        <v>77</v>
      </c>
      <c r="G3" s="98">
        <v>86</v>
      </c>
      <c r="H3" s="98">
        <v>70</v>
      </c>
      <c r="I3" s="98">
        <v>82</v>
      </c>
      <c r="J3" s="98">
        <v>78</v>
      </c>
      <c r="K3" s="98">
        <v>72</v>
      </c>
      <c r="L3" s="98">
        <v>73</v>
      </c>
      <c r="M3" s="98">
        <v>30</v>
      </c>
      <c r="N3" s="98">
        <v>25</v>
      </c>
      <c r="P3">
        <f t="shared" ref="P3:P32" si="0">SUM(E3:L3)</f>
        <v>625</v>
      </c>
      <c r="Q3">
        <v>27</v>
      </c>
      <c r="S3" s="98">
        <v>96</v>
      </c>
    </row>
    <row r="4" spans="1:19" ht="19.5">
      <c r="A4" s="98">
        <v>2</v>
      </c>
      <c r="B4" s="11" t="s">
        <v>657</v>
      </c>
      <c r="C4" s="72" t="s">
        <v>1212</v>
      </c>
      <c r="D4" s="73">
        <v>315</v>
      </c>
      <c r="E4" s="98">
        <v>77</v>
      </c>
      <c r="F4" s="98">
        <v>71</v>
      </c>
      <c r="G4" s="98">
        <v>82</v>
      </c>
      <c r="H4" s="98">
        <v>71</v>
      </c>
      <c r="I4" s="98">
        <v>72</v>
      </c>
      <c r="J4" s="98">
        <v>77</v>
      </c>
      <c r="K4" s="98">
        <v>84</v>
      </c>
      <c r="L4" s="98">
        <v>77</v>
      </c>
      <c r="M4" s="98">
        <v>30</v>
      </c>
      <c r="N4" s="98">
        <v>25</v>
      </c>
      <c r="P4">
        <f t="shared" si="0"/>
        <v>611</v>
      </c>
      <c r="Q4">
        <v>19</v>
      </c>
      <c r="S4" s="98">
        <v>92</v>
      </c>
    </row>
    <row r="5" spans="1:19" ht="19.5">
      <c r="A5" s="98">
        <v>3</v>
      </c>
      <c r="B5" s="11" t="s">
        <v>1183</v>
      </c>
      <c r="C5" s="72" t="s">
        <v>1184</v>
      </c>
      <c r="D5" s="73">
        <v>165</v>
      </c>
      <c r="E5" s="98">
        <v>71</v>
      </c>
      <c r="F5" s="98">
        <v>77</v>
      </c>
      <c r="G5" s="98">
        <v>80</v>
      </c>
      <c r="H5" s="98">
        <v>59</v>
      </c>
      <c r="I5" s="98">
        <v>72</v>
      </c>
      <c r="J5" s="98">
        <v>84</v>
      </c>
      <c r="K5" s="98">
        <v>81</v>
      </c>
      <c r="L5" s="98">
        <v>70</v>
      </c>
      <c r="M5" s="98">
        <v>40</v>
      </c>
      <c r="N5" s="98">
        <v>47</v>
      </c>
      <c r="P5">
        <f t="shared" si="0"/>
        <v>594</v>
      </c>
      <c r="Q5">
        <v>4</v>
      </c>
      <c r="R5" s="3"/>
      <c r="S5" s="98">
        <v>90</v>
      </c>
    </row>
    <row r="6" spans="1:19" ht="19.5">
      <c r="A6" s="98">
        <v>4</v>
      </c>
      <c r="B6" s="11" t="s">
        <v>1223</v>
      </c>
      <c r="C6" s="72" t="s">
        <v>1224</v>
      </c>
      <c r="D6" s="73">
        <v>461</v>
      </c>
      <c r="E6" s="98">
        <v>67</v>
      </c>
      <c r="F6" s="98">
        <v>71</v>
      </c>
      <c r="G6" s="98">
        <v>84</v>
      </c>
      <c r="H6" s="98">
        <v>69</v>
      </c>
      <c r="I6" s="98">
        <v>67</v>
      </c>
      <c r="J6" s="98">
        <v>81</v>
      </c>
      <c r="K6" s="98">
        <v>82</v>
      </c>
      <c r="L6" s="98">
        <v>73</v>
      </c>
      <c r="M6" s="98">
        <v>40</v>
      </c>
      <c r="N6" s="98">
        <v>30</v>
      </c>
      <c r="P6">
        <f t="shared" si="0"/>
        <v>594</v>
      </c>
      <c r="Q6">
        <v>25</v>
      </c>
      <c r="R6" s="3"/>
      <c r="S6" s="98">
        <v>94</v>
      </c>
    </row>
    <row r="7" spans="1:19" ht="19.5">
      <c r="A7" s="98">
        <v>5</v>
      </c>
      <c r="B7" s="11" t="s">
        <v>451</v>
      </c>
      <c r="C7" s="72" t="s">
        <v>1225</v>
      </c>
      <c r="D7" s="73">
        <v>472</v>
      </c>
      <c r="E7" s="98">
        <v>81</v>
      </c>
      <c r="F7" s="98">
        <v>79</v>
      </c>
      <c r="G7" s="98">
        <v>71</v>
      </c>
      <c r="H7" s="98">
        <v>73</v>
      </c>
      <c r="I7" s="98">
        <v>71</v>
      </c>
      <c r="J7" s="98">
        <v>75</v>
      </c>
      <c r="K7" s="98">
        <v>72</v>
      </c>
      <c r="L7" s="98">
        <v>62</v>
      </c>
      <c r="M7" s="98">
        <v>48</v>
      </c>
      <c r="N7" s="98">
        <v>38</v>
      </c>
      <c r="P7">
        <f>SUM(E7:L7)</f>
        <v>584</v>
      </c>
      <c r="Q7">
        <v>26</v>
      </c>
      <c r="R7" s="3"/>
      <c r="S7" s="98">
        <v>81</v>
      </c>
    </row>
    <row r="8" spans="1:19" ht="19.5">
      <c r="A8" s="98">
        <v>6</v>
      </c>
      <c r="B8" s="11" t="s">
        <v>1213</v>
      </c>
      <c r="C8" s="72" t="s">
        <v>1214</v>
      </c>
      <c r="D8" s="73">
        <v>316</v>
      </c>
      <c r="E8" s="98">
        <v>74</v>
      </c>
      <c r="F8" s="98">
        <v>70</v>
      </c>
      <c r="G8" s="98">
        <v>83</v>
      </c>
      <c r="H8" s="98">
        <v>65</v>
      </c>
      <c r="I8" s="98">
        <v>61</v>
      </c>
      <c r="J8" s="98">
        <v>74</v>
      </c>
      <c r="K8" s="98">
        <v>71</v>
      </c>
      <c r="L8" s="98">
        <v>80</v>
      </c>
      <c r="M8" s="98">
        <v>35</v>
      </c>
      <c r="N8" s="98">
        <v>35</v>
      </c>
      <c r="P8">
        <f t="shared" si="0"/>
        <v>578</v>
      </c>
      <c r="Q8">
        <v>20</v>
      </c>
      <c r="R8" s="3"/>
      <c r="S8" s="98">
        <v>93</v>
      </c>
    </row>
    <row r="9" spans="1:19" ht="19.5">
      <c r="A9" s="98">
        <v>7</v>
      </c>
      <c r="B9" s="11" t="s">
        <v>1204</v>
      </c>
      <c r="C9" s="72" t="s">
        <v>1205</v>
      </c>
      <c r="D9" s="73">
        <v>283</v>
      </c>
      <c r="E9" s="98">
        <v>70</v>
      </c>
      <c r="F9" s="98">
        <v>69</v>
      </c>
      <c r="G9" s="98">
        <v>80</v>
      </c>
      <c r="H9" s="98">
        <v>47</v>
      </c>
      <c r="I9" s="98">
        <v>76</v>
      </c>
      <c r="J9" s="98">
        <v>82</v>
      </c>
      <c r="K9" s="98">
        <v>76</v>
      </c>
      <c r="L9" s="98">
        <v>73</v>
      </c>
      <c r="M9" s="98">
        <v>48</v>
      </c>
      <c r="N9" s="98">
        <v>38</v>
      </c>
      <c r="P9">
        <f t="shared" si="0"/>
        <v>573</v>
      </c>
      <c r="Q9">
        <v>15</v>
      </c>
      <c r="R9" s="3"/>
      <c r="S9" s="98">
        <v>90</v>
      </c>
    </row>
    <row r="10" spans="1:19" ht="19.5">
      <c r="A10" s="98">
        <v>8</v>
      </c>
      <c r="B10" s="11" t="s">
        <v>1202</v>
      </c>
      <c r="C10" s="72" t="s">
        <v>1203</v>
      </c>
      <c r="D10" s="73">
        <v>280</v>
      </c>
      <c r="E10" s="98">
        <v>81</v>
      </c>
      <c r="F10" s="98">
        <v>72</v>
      </c>
      <c r="G10" s="98">
        <v>79</v>
      </c>
      <c r="H10" s="98">
        <v>50</v>
      </c>
      <c r="I10" s="98">
        <v>70</v>
      </c>
      <c r="J10" s="98">
        <v>64</v>
      </c>
      <c r="K10" s="98">
        <v>80</v>
      </c>
      <c r="L10" s="98">
        <v>53</v>
      </c>
      <c r="M10" s="98">
        <v>45</v>
      </c>
      <c r="N10" s="98">
        <v>40</v>
      </c>
      <c r="P10">
        <f t="shared" si="0"/>
        <v>549</v>
      </c>
      <c r="Q10">
        <v>14</v>
      </c>
      <c r="R10" s="3"/>
      <c r="S10" s="98">
        <v>89</v>
      </c>
    </row>
    <row r="11" spans="1:19" ht="19.5">
      <c r="A11" s="98">
        <v>9</v>
      </c>
      <c r="B11" s="11" t="s">
        <v>1196</v>
      </c>
      <c r="C11" s="72" t="s">
        <v>1197</v>
      </c>
      <c r="D11" s="73">
        <v>268</v>
      </c>
      <c r="E11" s="98">
        <v>75</v>
      </c>
      <c r="F11" s="98">
        <v>68</v>
      </c>
      <c r="G11" s="98">
        <v>65</v>
      </c>
      <c r="H11" s="98">
        <v>54</v>
      </c>
      <c r="I11" s="98">
        <v>73</v>
      </c>
      <c r="J11" s="98">
        <v>73</v>
      </c>
      <c r="K11" s="98">
        <v>64</v>
      </c>
      <c r="L11" s="98">
        <v>72</v>
      </c>
      <c r="M11" s="98">
        <v>40</v>
      </c>
      <c r="N11" s="98">
        <v>30</v>
      </c>
      <c r="P11">
        <f t="shared" si="0"/>
        <v>544</v>
      </c>
      <c r="Q11">
        <v>11</v>
      </c>
      <c r="R11" s="3"/>
      <c r="S11" s="98">
        <v>75</v>
      </c>
    </row>
    <row r="12" spans="1:19" ht="19.5">
      <c r="A12" s="98">
        <v>10</v>
      </c>
      <c r="B12" s="11" t="s">
        <v>1228</v>
      </c>
      <c r="C12" s="72" t="s">
        <v>1073</v>
      </c>
      <c r="D12" s="73">
        <v>509</v>
      </c>
      <c r="E12" s="98">
        <v>73</v>
      </c>
      <c r="F12" s="98">
        <v>66</v>
      </c>
      <c r="G12" s="98">
        <v>69</v>
      </c>
      <c r="H12" s="98">
        <v>66</v>
      </c>
      <c r="I12" s="98">
        <v>71</v>
      </c>
      <c r="J12" s="98">
        <v>58</v>
      </c>
      <c r="K12" s="98">
        <v>67</v>
      </c>
      <c r="L12" s="98">
        <v>71</v>
      </c>
      <c r="M12" s="98">
        <v>45</v>
      </c>
      <c r="N12" s="98">
        <v>25</v>
      </c>
      <c r="P12">
        <f t="shared" si="0"/>
        <v>541</v>
      </c>
      <c r="Q12">
        <v>29</v>
      </c>
      <c r="R12" s="3"/>
      <c r="S12" s="98">
        <v>79</v>
      </c>
    </row>
    <row r="13" spans="1:19" ht="19.5">
      <c r="A13" s="98">
        <v>11</v>
      </c>
      <c r="B13" s="11" t="s">
        <v>1215</v>
      </c>
      <c r="C13" s="72" t="s">
        <v>1216</v>
      </c>
      <c r="D13" s="73">
        <v>325</v>
      </c>
      <c r="E13" s="98">
        <v>72</v>
      </c>
      <c r="F13" s="98">
        <v>68</v>
      </c>
      <c r="G13" s="98">
        <v>66</v>
      </c>
      <c r="H13" s="98">
        <v>46</v>
      </c>
      <c r="I13" s="98">
        <v>57</v>
      </c>
      <c r="J13" s="98">
        <v>76</v>
      </c>
      <c r="K13" s="98">
        <v>65</v>
      </c>
      <c r="L13" s="98">
        <v>76</v>
      </c>
      <c r="M13" s="98">
        <v>30</v>
      </c>
      <c r="N13" s="98">
        <v>25</v>
      </c>
      <c r="P13">
        <f t="shared" si="0"/>
        <v>526</v>
      </c>
      <c r="Q13">
        <v>21</v>
      </c>
      <c r="R13" s="3"/>
      <c r="S13" s="98">
        <v>76</v>
      </c>
    </row>
    <row r="14" spans="1:19" ht="19.5">
      <c r="A14" s="98">
        <v>12</v>
      </c>
      <c r="B14" s="11" t="s">
        <v>1221</v>
      </c>
      <c r="C14" s="72" t="s">
        <v>1222</v>
      </c>
      <c r="D14" s="73">
        <v>349</v>
      </c>
      <c r="E14" s="98">
        <v>67</v>
      </c>
      <c r="F14" s="98">
        <v>55</v>
      </c>
      <c r="G14" s="98">
        <v>64</v>
      </c>
      <c r="H14" s="98">
        <v>56</v>
      </c>
      <c r="I14" s="98">
        <v>62</v>
      </c>
      <c r="J14" s="98">
        <v>64</v>
      </c>
      <c r="K14" s="98">
        <v>78</v>
      </c>
      <c r="L14" s="98">
        <v>80</v>
      </c>
      <c r="M14" s="98">
        <v>45</v>
      </c>
      <c r="N14" s="98">
        <v>32</v>
      </c>
      <c r="P14">
        <f t="shared" si="0"/>
        <v>526</v>
      </c>
      <c r="Q14">
        <v>24</v>
      </c>
      <c r="R14" s="3"/>
      <c r="S14" s="98">
        <v>74</v>
      </c>
    </row>
    <row r="15" spans="1:19" ht="19.5">
      <c r="A15" s="98">
        <v>13</v>
      </c>
      <c r="B15" s="11" t="s">
        <v>1177</v>
      </c>
      <c r="C15" s="72" t="s">
        <v>1178</v>
      </c>
      <c r="D15" s="73">
        <v>19</v>
      </c>
      <c r="E15" s="98">
        <v>64</v>
      </c>
      <c r="F15" s="98">
        <v>48</v>
      </c>
      <c r="G15" s="98">
        <v>60</v>
      </c>
      <c r="H15" s="98">
        <v>61</v>
      </c>
      <c r="I15" s="98">
        <v>74</v>
      </c>
      <c r="J15" s="98">
        <v>71</v>
      </c>
      <c r="K15" s="98">
        <v>60</v>
      </c>
      <c r="L15" s="98">
        <v>41</v>
      </c>
      <c r="M15" s="98">
        <v>40</v>
      </c>
      <c r="N15" s="98">
        <v>38</v>
      </c>
      <c r="P15">
        <f t="shared" si="0"/>
        <v>479</v>
      </c>
      <c r="Q15">
        <v>1</v>
      </c>
      <c r="S15" s="98">
        <v>70</v>
      </c>
    </row>
    <row r="16" spans="1:19" ht="19.5">
      <c r="A16" s="98">
        <v>14</v>
      </c>
      <c r="B16" s="11" t="s">
        <v>1206</v>
      </c>
      <c r="C16" s="72" t="s">
        <v>1207</v>
      </c>
      <c r="D16" s="73">
        <v>288</v>
      </c>
      <c r="E16" s="98">
        <v>45</v>
      </c>
      <c r="F16" s="98">
        <v>54</v>
      </c>
      <c r="G16" s="98">
        <v>56</v>
      </c>
      <c r="H16" s="98">
        <v>53</v>
      </c>
      <c r="I16" s="98">
        <v>52</v>
      </c>
      <c r="J16" s="98">
        <v>61</v>
      </c>
      <c r="K16" s="98">
        <v>61</v>
      </c>
      <c r="L16" s="98">
        <v>44</v>
      </c>
      <c r="M16" s="98">
        <v>38</v>
      </c>
      <c r="N16" s="98">
        <v>27</v>
      </c>
      <c r="P16">
        <f t="shared" si="0"/>
        <v>426</v>
      </c>
      <c r="Q16">
        <v>16</v>
      </c>
      <c r="S16" s="98">
        <v>66</v>
      </c>
    </row>
    <row r="17" spans="1:19" ht="19.5">
      <c r="A17" s="98">
        <v>15</v>
      </c>
      <c r="B17" s="11" t="s">
        <v>993</v>
      </c>
      <c r="C17" s="72" t="s">
        <v>1230</v>
      </c>
      <c r="D17" s="73">
        <v>523</v>
      </c>
      <c r="E17" s="98">
        <v>49</v>
      </c>
      <c r="F17" s="98">
        <v>49</v>
      </c>
      <c r="G17" s="98">
        <v>61</v>
      </c>
      <c r="H17" s="98">
        <v>37</v>
      </c>
      <c r="I17" s="98">
        <v>61</v>
      </c>
      <c r="J17" s="98">
        <v>50</v>
      </c>
      <c r="K17" s="98">
        <v>59</v>
      </c>
      <c r="L17" s="98">
        <v>45</v>
      </c>
      <c r="M17" s="98">
        <v>38</v>
      </c>
      <c r="N17" s="98">
        <v>32</v>
      </c>
      <c r="P17">
        <f t="shared" si="0"/>
        <v>411</v>
      </c>
      <c r="Q17">
        <v>31</v>
      </c>
      <c r="S17" s="98">
        <v>71</v>
      </c>
    </row>
    <row r="18" spans="1:19" ht="19.5">
      <c r="A18" s="98">
        <v>16</v>
      </c>
      <c r="B18" s="116" t="s">
        <v>1208</v>
      </c>
      <c r="C18" s="72" t="s">
        <v>1209</v>
      </c>
      <c r="D18" s="73">
        <v>307</v>
      </c>
      <c r="E18" s="98">
        <v>48</v>
      </c>
      <c r="F18" s="98">
        <v>56</v>
      </c>
      <c r="G18" s="98">
        <v>52</v>
      </c>
      <c r="H18" s="98">
        <v>49</v>
      </c>
      <c r="I18" s="98">
        <v>52</v>
      </c>
      <c r="J18" s="98">
        <v>59</v>
      </c>
      <c r="K18" s="98">
        <v>42</v>
      </c>
      <c r="L18" s="98">
        <v>43</v>
      </c>
      <c r="M18" s="98">
        <v>30</v>
      </c>
      <c r="N18" s="98">
        <v>40</v>
      </c>
      <c r="P18">
        <f t="shared" si="0"/>
        <v>401</v>
      </c>
      <c r="Q18">
        <v>17</v>
      </c>
      <c r="S18" s="98">
        <v>62</v>
      </c>
    </row>
    <row r="19" spans="1:19" ht="19.5">
      <c r="A19" s="98">
        <v>17</v>
      </c>
      <c r="B19" s="11" t="s">
        <v>1195</v>
      </c>
      <c r="C19" s="72" t="s">
        <v>615</v>
      </c>
      <c r="D19" s="73">
        <v>267</v>
      </c>
      <c r="E19" s="98">
        <v>53</v>
      </c>
      <c r="F19" s="98">
        <v>51</v>
      </c>
      <c r="G19" s="98">
        <v>46</v>
      </c>
      <c r="H19" s="98">
        <v>38</v>
      </c>
      <c r="I19" s="98">
        <v>52</v>
      </c>
      <c r="J19" s="98">
        <v>62</v>
      </c>
      <c r="K19" s="98">
        <v>54</v>
      </c>
      <c r="L19" s="98">
        <v>42</v>
      </c>
      <c r="M19" s="98">
        <v>38</v>
      </c>
      <c r="N19" s="98">
        <v>20</v>
      </c>
      <c r="P19">
        <f t="shared" si="0"/>
        <v>398</v>
      </c>
      <c r="Q19">
        <v>10</v>
      </c>
      <c r="S19" s="98">
        <v>56</v>
      </c>
    </row>
    <row r="20" spans="1:19" ht="19.5">
      <c r="A20" s="98">
        <v>18</v>
      </c>
      <c r="B20" s="11" t="s">
        <v>1198</v>
      </c>
      <c r="C20" s="72" t="s">
        <v>1199</v>
      </c>
      <c r="D20" s="73">
        <v>269</v>
      </c>
      <c r="E20" s="98">
        <v>55</v>
      </c>
      <c r="F20" s="98">
        <v>38</v>
      </c>
      <c r="G20" s="98">
        <v>53</v>
      </c>
      <c r="H20" s="98">
        <v>35</v>
      </c>
      <c r="I20" s="98">
        <v>37</v>
      </c>
      <c r="J20" s="98">
        <v>55</v>
      </c>
      <c r="K20" s="98">
        <v>54</v>
      </c>
      <c r="L20" s="98">
        <v>59</v>
      </c>
      <c r="M20" s="98">
        <v>40</v>
      </c>
      <c r="N20" s="98">
        <v>20</v>
      </c>
      <c r="P20">
        <f t="shared" si="0"/>
        <v>386</v>
      </c>
      <c r="Q20">
        <v>12</v>
      </c>
      <c r="S20" s="98">
        <v>63</v>
      </c>
    </row>
    <row r="21" spans="1:19" ht="19.5">
      <c r="A21" s="98">
        <v>19</v>
      </c>
      <c r="B21" s="11" t="s">
        <v>1191</v>
      </c>
      <c r="C21" s="72" t="s">
        <v>1192</v>
      </c>
      <c r="D21" s="73">
        <v>236</v>
      </c>
      <c r="E21" s="98">
        <v>43</v>
      </c>
      <c r="F21" s="98">
        <v>50</v>
      </c>
      <c r="G21" s="98">
        <v>38</v>
      </c>
      <c r="H21" s="98">
        <v>35</v>
      </c>
      <c r="I21" s="98">
        <v>46</v>
      </c>
      <c r="J21" s="98">
        <v>45</v>
      </c>
      <c r="K21" s="98">
        <v>67</v>
      </c>
      <c r="L21" s="98">
        <v>43</v>
      </c>
      <c r="M21" s="98">
        <v>38</v>
      </c>
      <c r="N21" s="98">
        <v>15</v>
      </c>
      <c r="P21">
        <f t="shared" si="0"/>
        <v>367</v>
      </c>
      <c r="Q21">
        <v>8</v>
      </c>
      <c r="S21" s="98">
        <v>48</v>
      </c>
    </row>
    <row r="22" spans="1:19" ht="19.5">
      <c r="A22" s="98">
        <v>20</v>
      </c>
      <c r="B22" s="11" t="s">
        <v>1185</v>
      </c>
      <c r="C22" s="72" t="s">
        <v>1186</v>
      </c>
      <c r="D22" s="73">
        <v>181</v>
      </c>
      <c r="E22" s="98">
        <v>40</v>
      </c>
      <c r="F22" s="98">
        <v>38</v>
      </c>
      <c r="G22" s="98">
        <v>47</v>
      </c>
      <c r="H22" s="98">
        <v>38</v>
      </c>
      <c r="I22" s="98">
        <v>44</v>
      </c>
      <c r="J22" s="98">
        <v>38</v>
      </c>
      <c r="K22" s="98">
        <v>65</v>
      </c>
      <c r="L22" s="98">
        <v>43</v>
      </c>
      <c r="M22" s="98">
        <v>47</v>
      </c>
      <c r="N22" s="98">
        <v>30</v>
      </c>
      <c r="P22">
        <f t="shared" si="0"/>
        <v>353</v>
      </c>
      <c r="Q22">
        <v>5</v>
      </c>
      <c r="S22" s="98">
        <v>57</v>
      </c>
    </row>
    <row r="23" spans="1:19" ht="19.5">
      <c r="A23" s="98">
        <v>21</v>
      </c>
      <c r="B23" s="11" t="s">
        <v>804</v>
      </c>
      <c r="C23" s="72" t="s">
        <v>1229</v>
      </c>
      <c r="D23" s="73">
        <v>513</v>
      </c>
      <c r="E23" s="98">
        <v>51</v>
      </c>
      <c r="F23" s="98">
        <v>53</v>
      </c>
      <c r="G23" s="98">
        <v>41</v>
      </c>
      <c r="H23" s="98">
        <v>37</v>
      </c>
      <c r="I23" s="98">
        <v>35</v>
      </c>
      <c r="J23" s="98">
        <v>36</v>
      </c>
      <c r="K23" s="98">
        <v>54</v>
      </c>
      <c r="L23" s="98">
        <v>38</v>
      </c>
      <c r="M23" s="98">
        <v>40</v>
      </c>
      <c r="N23" s="98">
        <v>37</v>
      </c>
      <c r="P23">
        <f t="shared" si="0"/>
        <v>345</v>
      </c>
      <c r="Q23">
        <v>30</v>
      </c>
      <c r="S23" s="98">
        <v>51</v>
      </c>
    </row>
    <row r="24" spans="1:19" ht="19.5">
      <c r="A24" s="98">
        <v>22</v>
      </c>
      <c r="B24" s="11" t="s">
        <v>1189</v>
      </c>
      <c r="C24" s="72" t="s">
        <v>1190</v>
      </c>
      <c r="D24" s="73">
        <v>209</v>
      </c>
      <c r="E24" s="98">
        <v>59</v>
      </c>
      <c r="F24" s="98">
        <v>36</v>
      </c>
      <c r="G24" s="98">
        <v>66</v>
      </c>
      <c r="H24" s="98">
        <v>31</v>
      </c>
      <c r="I24" s="98">
        <v>46</v>
      </c>
      <c r="J24" s="98">
        <v>58</v>
      </c>
      <c r="K24" s="98">
        <v>51</v>
      </c>
      <c r="L24" s="98">
        <v>59</v>
      </c>
      <c r="M24" s="98">
        <v>30</v>
      </c>
      <c r="N24" s="98">
        <v>46</v>
      </c>
      <c r="P24">
        <f t="shared" si="0"/>
        <v>406</v>
      </c>
      <c r="Q24">
        <v>7</v>
      </c>
      <c r="S24" s="98">
        <v>76</v>
      </c>
    </row>
    <row r="25" spans="1:19" ht="19.5">
      <c r="A25" s="98">
        <v>23</v>
      </c>
      <c r="B25" s="11" t="s">
        <v>1193</v>
      </c>
      <c r="C25" s="72" t="s">
        <v>1194</v>
      </c>
      <c r="D25" s="73">
        <v>239</v>
      </c>
      <c r="E25" s="98">
        <v>24</v>
      </c>
      <c r="F25" s="98">
        <v>36</v>
      </c>
      <c r="G25" s="98">
        <v>35</v>
      </c>
      <c r="H25" s="98">
        <v>29</v>
      </c>
      <c r="I25" s="98">
        <v>36</v>
      </c>
      <c r="J25" s="98">
        <v>40</v>
      </c>
      <c r="K25" s="98">
        <v>45</v>
      </c>
      <c r="L25" s="98">
        <v>42</v>
      </c>
      <c r="M25" s="98">
        <v>37</v>
      </c>
      <c r="N25" s="98">
        <v>25</v>
      </c>
      <c r="P25">
        <f t="shared" si="0"/>
        <v>287</v>
      </c>
      <c r="Q25">
        <v>9</v>
      </c>
      <c r="S25" s="98">
        <v>42</v>
      </c>
    </row>
    <row r="26" spans="1:19" ht="19.5">
      <c r="A26" s="98">
        <v>24</v>
      </c>
      <c r="B26" s="11" t="s">
        <v>1181</v>
      </c>
      <c r="C26" s="72" t="s">
        <v>1182</v>
      </c>
      <c r="D26" s="73">
        <v>110</v>
      </c>
      <c r="E26" s="98">
        <v>35</v>
      </c>
      <c r="F26" s="98">
        <v>35</v>
      </c>
      <c r="G26" s="98">
        <v>35</v>
      </c>
      <c r="H26" s="98">
        <v>10</v>
      </c>
      <c r="I26" s="98">
        <v>35</v>
      </c>
      <c r="J26" s="98">
        <v>21</v>
      </c>
      <c r="K26" s="98">
        <v>42</v>
      </c>
      <c r="L26" s="98">
        <v>48</v>
      </c>
      <c r="M26" s="98">
        <v>43</v>
      </c>
      <c r="N26" s="98">
        <v>20</v>
      </c>
      <c r="P26">
        <f t="shared" si="0"/>
        <v>261</v>
      </c>
      <c r="Q26">
        <v>3</v>
      </c>
      <c r="S26" s="98">
        <v>37</v>
      </c>
    </row>
    <row r="27" spans="1:19" ht="19.5">
      <c r="A27" s="98">
        <v>25</v>
      </c>
      <c r="B27" s="11" t="s">
        <v>1217</v>
      </c>
      <c r="C27" s="72" t="s">
        <v>1218</v>
      </c>
      <c r="D27" s="73">
        <v>330</v>
      </c>
      <c r="E27" s="98">
        <v>26</v>
      </c>
      <c r="F27" s="98">
        <v>35</v>
      </c>
      <c r="G27" s="98">
        <v>35</v>
      </c>
      <c r="H27" s="98">
        <v>19</v>
      </c>
      <c r="I27" s="98">
        <v>16</v>
      </c>
      <c r="J27" s="98">
        <v>32</v>
      </c>
      <c r="K27" s="98">
        <v>41</v>
      </c>
      <c r="L27" s="98">
        <v>38</v>
      </c>
      <c r="M27" s="98">
        <v>30</v>
      </c>
      <c r="N27" s="98">
        <v>25</v>
      </c>
      <c r="P27">
        <f t="shared" si="0"/>
        <v>242</v>
      </c>
      <c r="Q27">
        <v>22</v>
      </c>
      <c r="S27" s="98">
        <v>36</v>
      </c>
    </row>
    <row r="28" spans="1:19" ht="19.5">
      <c r="A28" s="98">
        <v>26</v>
      </c>
      <c r="B28" s="11" t="s">
        <v>1179</v>
      </c>
      <c r="C28" s="72" t="s">
        <v>1180</v>
      </c>
      <c r="D28" s="73">
        <v>39</v>
      </c>
      <c r="E28" s="98">
        <v>26</v>
      </c>
      <c r="F28" s="98">
        <v>31</v>
      </c>
      <c r="G28" s="98">
        <v>48</v>
      </c>
      <c r="H28" s="98">
        <v>15</v>
      </c>
      <c r="I28" s="98">
        <v>38</v>
      </c>
      <c r="J28" s="98">
        <v>21</v>
      </c>
      <c r="K28" s="98">
        <v>38</v>
      </c>
      <c r="L28" s="98">
        <v>13</v>
      </c>
      <c r="M28" s="98">
        <v>25</v>
      </c>
      <c r="N28" s="98">
        <v>20</v>
      </c>
      <c r="P28">
        <f t="shared" si="0"/>
        <v>230</v>
      </c>
      <c r="Q28">
        <v>2</v>
      </c>
      <c r="S28" s="98">
        <v>58</v>
      </c>
    </row>
    <row r="29" spans="1:19" ht="19.5">
      <c r="A29" s="98">
        <v>27</v>
      </c>
      <c r="B29" s="116" t="s">
        <v>1210</v>
      </c>
      <c r="C29" s="138" t="s">
        <v>1211</v>
      </c>
      <c r="D29" s="73">
        <v>308</v>
      </c>
      <c r="E29" s="98">
        <v>28</v>
      </c>
      <c r="F29" s="98">
        <v>24</v>
      </c>
      <c r="G29" s="98">
        <v>35</v>
      </c>
      <c r="H29" s="98">
        <v>10</v>
      </c>
      <c r="I29" s="98">
        <v>35</v>
      </c>
      <c r="J29" s="98">
        <v>35</v>
      </c>
      <c r="K29" s="98">
        <v>38</v>
      </c>
      <c r="L29" s="98">
        <v>15</v>
      </c>
      <c r="M29" s="98">
        <v>15</v>
      </c>
      <c r="N29" s="98">
        <v>25</v>
      </c>
      <c r="P29">
        <f t="shared" si="0"/>
        <v>220</v>
      </c>
      <c r="Q29">
        <v>18</v>
      </c>
      <c r="S29" s="98">
        <v>34</v>
      </c>
    </row>
    <row r="30" spans="1:19" ht="19.5">
      <c r="A30" s="98">
        <v>28</v>
      </c>
      <c r="B30" s="11" t="s">
        <v>1187</v>
      </c>
      <c r="C30" s="72" t="s">
        <v>1188</v>
      </c>
      <c r="D30" s="73">
        <v>198</v>
      </c>
      <c r="E30" s="98">
        <v>42</v>
      </c>
      <c r="F30" s="98">
        <v>17</v>
      </c>
      <c r="G30" s="98">
        <v>13</v>
      </c>
      <c r="H30" s="98">
        <v>40</v>
      </c>
      <c r="I30" s="98">
        <v>39</v>
      </c>
      <c r="J30" s="98">
        <v>23</v>
      </c>
      <c r="K30" s="98">
        <v>19</v>
      </c>
      <c r="L30" s="98">
        <v>9</v>
      </c>
      <c r="M30" s="98">
        <v>17</v>
      </c>
      <c r="N30" s="98">
        <v>10</v>
      </c>
      <c r="P30">
        <f t="shared" si="0"/>
        <v>202</v>
      </c>
      <c r="Q30">
        <v>6</v>
      </c>
      <c r="S30" s="98">
        <v>13</v>
      </c>
    </row>
    <row r="31" spans="1:19" ht="19.5">
      <c r="A31" s="98">
        <v>29</v>
      </c>
      <c r="B31" s="130" t="s">
        <v>1200</v>
      </c>
      <c r="C31" s="131" t="s">
        <v>1201</v>
      </c>
      <c r="D31" s="132">
        <v>279</v>
      </c>
      <c r="E31" s="98">
        <v>50</v>
      </c>
      <c r="F31" s="98">
        <v>45</v>
      </c>
      <c r="G31" s="98">
        <v>35</v>
      </c>
      <c r="H31" s="98">
        <v>47</v>
      </c>
      <c r="I31" s="98">
        <v>42</v>
      </c>
      <c r="J31" s="98">
        <v>30</v>
      </c>
      <c r="K31" s="98">
        <v>35</v>
      </c>
      <c r="L31" s="98">
        <v>15</v>
      </c>
      <c r="M31" s="98">
        <v>40</v>
      </c>
      <c r="N31" s="98">
        <v>38</v>
      </c>
      <c r="O31" s="98" t="s">
        <v>1253</v>
      </c>
      <c r="P31">
        <f t="shared" si="0"/>
        <v>299</v>
      </c>
      <c r="Q31">
        <v>13</v>
      </c>
      <c r="S31" s="98">
        <v>35</v>
      </c>
    </row>
    <row r="32" spans="1:19" ht="19.5">
      <c r="A32" s="98">
        <v>30</v>
      </c>
      <c r="B32" s="130" t="s">
        <v>1219</v>
      </c>
      <c r="C32" s="131" t="s">
        <v>1220</v>
      </c>
      <c r="D32" s="132">
        <v>337</v>
      </c>
      <c r="E32" s="98">
        <v>45</v>
      </c>
      <c r="F32" s="98">
        <v>40</v>
      </c>
      <c r="G32" s="98">
        <v>35</v>
      </c>
      <c r="H32" s="98">
        <v>35</v>
      </c>
      <c r="I32" s="98">
        <v>35</v>
      </c>
      <c r="J32" s="98">
        <v>38</v>
      </c>
      <c r="K32" s="98">
        <v>35</v>
      </c>
      <c r="L32" s="98">
        <v>37</v>
      </c>
      <c r="M32" s="98">
        <v>35</v>
      </c>
      <c r="N32" s="98">
        <v>20</v>
      </c>
      <c r="O32" s="98" t="s">
        <v>1253</v>
      </c>
      <c r="P32">
        <f t="shared" si="0"/>
        <v>300</v>
      </c>
      <c r="Q32">
        <v>23</v>
      </c>
      <c r="S32" s="98">
        <v>35</v>
      </c>
    </row>
    <row r="34" spans="26:39" ht="19.5">
      <c r="Z34">
        <v>28</v>
      </c>
      <c r="AA34" s="77" t="s">
        <v>702</v>
      </c>
      <c r="AB34" s="78"/>
      <c r="AC34" s="74">
        <v>505</v>
      </c>
      <c r="AD34" s="98"/>
      <c r="AE34" s="98"/>
      <c r="AF34" s="98"/>
      <c r="AG34" s="98"/>
      <c r="AH34" s="98"/>
      <c r="AI34" s="98"/>
      <c r="AJ34" s="98"/>
      <c r="AK34" s="98"/>
      <c r="AL34" s="98"/>
      <c r="AM34" s="98"/>
    </row>
  </sheetData>
  <sortState ref="A3:R34">
    <sortCondition descending="1" ref="P3"/>
  </sortState>
  <conditionalFormatting sqref="E3:L32 S3:S32">
    <cfRule type="cellIs" dxfId="4" priority="2" operator="lessThan">
      <formula>35</formula>
    </cfRule>
  </conditionalFormatting>
  <pageMargins left="0.7" right="0.7" top="0.75" bottom="0.75" header="0.3" footer="0.3"/>
  <ignoredErrors>
    <ignoredError sqref="D1 A1:C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>
      <selection activeCell="G35" sqref="G35"/>
    </sheetView>
  </sheetViews>
  <sheetFormatPr defaultRowHeight="15.75"/>
  <cols>
    <col min="2" max="2" width="25.625" customWidth="1"/>
    <col min="5" max="13" width="9" style="98"/>
  </cols>
  <sheetData>
    <row r="1" spans="1:17" ht="205.5">
      <c r="A1" t="s">
        <v>0</v>
      </c>
      <c r="B1" s="111" t="s">
        <v>1</v>
      </c>
      <c r="C1" s="111" t="s">
        <v>2</v>
      </c>
      <c r="D1" s="111" t="s">
        <v>3</v>
      </c>
      <c r="E1" s="121" t="s">
        <v>173</v>
      </c>
      <c r="F1" s="121" t="s">
        <v>81</v>
      </c>
      <c r="G1" s="121" t="s">
        <v>156</v>
      </c>
      <c r="H1" s="121" t="s">
        <v>157</v>
      </c>
      <c r="I1" s="121" t="s">
        <v>110</v>
      </c>
      <c r="J1" s="121" t="s">
        <v>158</v>
      </c>
      <c r="K1" s="121" t="s">
        <v>160</v>
      </c>
      <c r="L1" s="121" t="s">
        <v>1288</v>
      </c>
      <c r="M1" s="121" t="s">
        <v>1289</v>
      </c>
      <c r="N1" s="121"/>
    </row>
    <row r="2" spans="1:17" s="4" customFormat="1" hidden="1">
      <c r="E2" s="122" t="s">
        <v>207</v>
      </c>
      <c r="F2" s="122" t="s">
        <v>208</v>
      </c>
      <c r="G2" s="122" t="s">
        <v>209</v>
      </c>
      <c r="H2" s="122" t="s">
        <v>210</v>
      </c>
      <c r="I2" s="122" t="s">
        <v>211</v>
      </c>
      <c r="J2" s="122" t="s">
        <v>212</v>
      </c>
      <c r="K2" s="122" t="s">
        <v>213</v>
      </c>
      <c r="L2" s="122" t="s">
        <v>234</v>
      </c>
      <c r="M2" s="122" t="s">
        <v>233</v>
      </c>
    </row>
    <row r="3" spans="1:17" ht="19.5">
      <c r="A3" s="98">
        <v>1</v>
      </c>
      <c r="B3" s="197" t="s">
        <v>1173</v>
      </c>
      <c r="C3" s="198" t="s">
        <v>1174</v>
      </c>
      <c r="D3" s="199">
        <v>441</v>
      </c>
      <c r="E3" s="98">
        <v>70</v>
      </c>
      <c r="F3" s="98">
        <v>83</v>
      </c>
      <c r="G3" s="98">
        <v>82</v>
      </c>
      <c r="H3" s="98">
        <v>91</v>
      </c>
      <c r="I3" s="98">
        <v>83</v>
      </c>
      <c r="J3" s="98">
        <v>74</v>
      </c>
      <c r="K3" s="98">
        <v>73</v>
      </c>
      <c r="L3" s="98">
        <v>46</v>
      </c>
      <c r="M3" s="98">
        <v>45</v>
      </c>
      <c r="N3" s="69">
        <f>SUM(E3:K3)</f>
        <v>556</v>
      </c>
      <c r="O3">
        <v>38</v>
      </c>
    </row>
    <row r="4" spans="1:17" ht="19.5">
      <c r="A4" s="98">
        <v>2</v>
      </c>
      <c r="B4" s="117" t="s">
        <v>1175</v>
      </c>
      <c r="C4" s="72" t="s">
        <v>1176</v>
      </c>
      <c r="D4" s="118">
        <v>481</v>
      </c>
      <c r="E4" s="98">
        <v>58</v>
      </c>
      <c r="F4" s="98">
        <v>77</v>
      </c>
      <c r="G4" s="98">
        <v>81</v>
      </c>
      <c r="H4" s="98">
        <v>81</v>
      </c>
      <c r="I4" s="98">
        <v>73</v>
      </c>
      <c r="J4" s="98">
        <v>80</v>
      </c>
      <c r="K4" s="98">
        <v>88</v>
      </c>
      <c r="L4" s="98">
        <v>28</v>
      </c>
      <c r="M4" s="98">
        <v>40</v>
      </c>
      <c r="N4" s="69">
        <f>SUM(E4:K4)</f>
        <v>538</v>
      </c>
      <c r="O4">
        <v>39</v>
      </c>
    </row>
    <row r="5" spans="1:17" ht="19.5">
      <c r="A5" s="98">
        <v>3</v>
      </c>
      <c r="B5" s="117" t="s">
        <v>1125</v>
      </c>
      <c r="C5" s="72" t="s">
        <v>1126</v>
      </c>
      <c r="D5" s="118">
        <v>211</v>
      </c>
      <c r="E5" s="98">
        <v>73</v>
      </c>
      <c r="F5" s="98">
        <v>81</v>
      </c>
      <c r="G5" s="98">
        <v>80</v>
      </c>
      <c r="H5" s="98">
        <v>85</v>
      </c>
      <c r="I5" s="98">
        <v>65</v>
      </c>
      <c r="J5" s="98">
        <v>51</v>
      </c>
      <c r="K5" s="98">
        <v>82</v>
      </c>
      <c r="L5" s="98">
        <v>36</v>
      </c>
      <c r="M5" s="98">
        <v>41</v>
      </c>
      <c r="N5" s="69">
        <f>SUM(E5:K5)</f>
        <v>517</v>
      </c>
      <c r="O5">
        <v>9</v>
      </c>
      <c r="P5" s="3"/>
      <c r="Q5" s="3"/>
    </row>
    <row r="6" spans="1:17" ht="19.5">
      <c r="A6" s="98">
        <v>4</v>
      </c>
      <c r="B6" s="117" t="s">
        <v>1168</v>
      </c>
      <c r="C6" s="72" t="s">
        <v>1133</v>
      </c>
      <c r="D6" s="118">
        <v>391</v>
      </c>
      <c r="E6" s="98">
        <v>52</v>
      </c>
      <c r="F6" s="98">
        <v>83</v>
      </c>
      <c r="G6" s="98">
        <v>80</v>
      </c>
      <c r="H6" s="98">
        <v>80</v>
      </c>
      <c r="I6" s="98">
        <v>87</v>
      </c>
      <c r="J6" s="98">
        <v>75</v>
      </c>
      <c r="K6" s="98">
        <v>54</v>
      </c>
      <c r="L6" s="98">
        <v>25</v>
      </c>
      <c r="M6" s="98">
        <v>47</v>
      </c>
      <c r="N6" s="69">
        <f>SUM(E6,F6,G6,H6,I6,J6,K6)</f>
        <v>511</v>
      </c>
      <c r="O6">
        <v>35</v>
      </c>
      <c r="P6" s="3"/>
      <c r="Q6" s="3"/>
    </row>
    <row r="7" spans="1:17" ht="19.5">
      <c r="A7" s="98">
        <v>5</v>
      </c>
      <c r="B7" s="117" t="s">
        <v>1154</v>
      </c>
      <c r="C7" s="72" t="s">
        <v>1155</v>
      </c>
      <c r="D7" s="118">
        <v>312</v>
      </c>
      <c r="E7" s="98">
        <v>76</v>
      </c>
      <c r="F7" s="98">
        <v>80</v>
      </c>
      <c r="G7" s="98">
        <v>70</v>
      </c>
      <c r="H7" s="98">
        <v>72</v>
      </c>
      <c r="I7" s="98">
        <v>64</v>
      </c>
      <c r="J7" s="98">
        <v>80</v>
      </c>
      <c r="K7" s="98">
        <v>68</v>
      </c>
      <c r="L7" s="98">
        <v>32</v>
      </c>
      <c r="M7" s="98">
        <v>34</v>
      </c>
      <c r="N7" s="69">
        <f>SUM(E7:K7)</f>
        <v>510</v>
      </c>
      <c r="O7">
        <v>27</v>
      </c>
      <c r="P7" s="3"/>
      <c r="Q7" s="3"/>
    </row>
    <row r="8" spans="1:17" ht="19.5">
      <c r="A8" s="98">
        <v>6</v>
      </c>
      <c r="B8" s="117" t="s">
        <v>1143</v>
      </c>
      <c r="C8" s="72" t="s">
        <v>1144</v>
      </c>
      <c r="D8" s="118">
        <v>289</v>
      </c>
      <c r="E8" s="98">
        <v>67</v>
      </c>
      <c r="F8" s="98">
        <v>76</v>
      </c>
      <c r="G8" s="98">
        <v>73</v>
      </c>
      <c r="H8" s="98">
        <v>83</v>
      </c>
      <c r="I8" s="98">
        <v>76</v>
      </c>
      <c r="J8" s="98">
        <v>77</v>
      </c>
      <c r="K8" s="98">
        <v>56</v>
      </c>
      <c r="L8" s="98">
        <v>35</v>
      </c>
      <c r="M8" s="98">
        <v>48</v>
      </c>
      <c r="N8" s="69">
        <f>SUM(E8:K8)</f>
        <v>508</v>
      </c>
      <c r="O8">
        <v>20</v>
      </c>
      <c r="P8" s="3"/>
      <c r="Q8" s="3"/>
    </row>
    <row r="9" spans="1:17" ht="19.5">
      <c r="A9" s="98">
        <v>7</v>
      </c>
      <c r="B9" s="117" t="s">
        <v>1136</v>
      </c>
      <c r="C9" s="72" t="s">
        <v>1137</v>
      </c>
      <c r="D9" s="118">
        <v>255</v>
      </c>
      <c r="E9" s="98">
        <v>57</v>
      </c>
      <c r="F9" s="98">
        <v>79</v>
      </c>
      <c r="G9" s="98">
        <v>79</v>
      </c>
      <c r="H9" s="98">
        <v>83</v>
      </c>
      <c r="I9" s="98">
        <v>64</v>
      </c>
      <c r="J9" s="98">
        <v>63</v>
      </c>
      <c r="K9" s="98">
        <v>77</v>
      </c>
      <c r="L9" s="98">
        <v>48</v>
      </c>
      <c r="M9" s="98">
        <v>45</v>
      </c>
      <c r="N9" s="69">
        <f>SUM(E9:K9)</f>
        <v>502</v>
      </c>
      <c r="O9">
        <v>16</v>
      </c>
      <c r="P9" s="3"/>
      <c r="Q9" s="3"/>
    </row>
    <row r="10" spans="1:17" ht="19.5">
      <c r="A10" s="98">
        <v>8</v>
      </c>
      <c r="B10" s="117" t="s">
        <v>1112</v>
      </c>
      <c r="C10" s="72" t="s">
        <v>1113</v>
      </c>
      <c r="D10" s="118">
        <v>71</v>
      </c>
      <c r="E10" s="98">
        <v>49</v>
      </c>
      <c r="F10" s="98">
        <v>80</v>
      </c>
      <c r="G10" s="98">
        <v>63</v>
      </c>
      <c r="H10" s="98">
        <v>66</v>
      </c>
      <c r="I10" s="98">
        <v>65</v>
      </c>
      <c r="J10" s="98">
        <v>65</v>
      </c>
      <c r="K10" s="98">
        <v>74</v>
      </c>
      <c r="L10" s="98">
        <v>35</v>
      </c>
      <c r="M10" s="98">
        <v>21</v>
      </c>
      <c r="N10" s="69">
        <f>SUM(E10:K10)</f>
        <v>462</v>
      </c>
      <c r="O10">
        <v>1</v>
      </c>
      <c r="P10" s="3"/>
      <c r="Q10" s="3"/>
    </row>
    <row r="11" spans="1:17" ht="19.5">
      <c r="A11" s="98">
        <v>9</v>
      </c>
      <c r="B11" s="117" t="s">
        <v>770</v>
      </c>
      <c r="C11" s="72" t="s">
        <v>1158</v>
      </c>
      <c r="D11" s="118">
        <v>318</v>
      </c>
      <c r="E11" s="98">
        <v>50</v>
      </c>
      <c r="F11" s="98">
        <v>68</v>
      </c>
      <c r="G11" s="98">
        <v>75</v>
      </c>
      <c r="H11" s="98">
        <v>76</v>
      </c>
      <c r="I11" s="98">
        <v>69</v>
      </c>
      <c r="J11" s="98">
        <v>56</v>
      </c>
      <c r="K11" s="98">
        <v>67</v>
      </c>
      <c r="L11" s="98">
        <v>28</v>
      </c>
      <c r="M11" s="98">
        <v>45</v>
      </c>
      <c r="N11" s="69">
        <f>SUM(E11:K11)</f>
        <v>461</v>
      </c>
      <c r="O11">
        <v>29</v>
      </c>
      <c r="P11" s="3"/>
      <c r="Q11" s="3"/>
    </row>
    <row r="12" spans="1:17" ht="19.5">
      <c r="A12" s="98">
        <v>10</v>
      </c>
      <c r="B12" s="117" t="s">
        <v>1140</v>
      </c>
      <c r="C12" s="72" t="s">
        <v>1141</v>
      </c>
      <c r="D12" s="118">
        <v>286</v>
      </c>
      <c r="E12" s="98">
        <v>46</v>
      </c>
      <c r="F12" s="98">
        <v>79</v>
      </c>
      <c r="G12" s="98">
        <v>73</v>
      </c>
      <c r="H12" s="98">
        <v>72</v>
      </c>
      <c r="I12" s="98">
        <v>66</v>
      </c>
      <c r="J12" s="98">
        <v>50</v>
      </c>
      <c r="K12" s="98">
        <v>65</v>
      </c>
      <c r="L12" s="98">
        <v>38</v>
      </c>
      <c r="M12" s="98">
        <v>41</v>
      </c>
      <c r="N12" s="69">
        <f>SUM(E12:K12)</f>
        <v>451</v>
      </c>
      <c r="O12">
        <v>18</v>
      </c>
      <c r="P12" s="3"/>
      <c r="Q12" s="3"/>
    </row>
    <row r="13" spans="1:17" ht="19.5">
      <c r="A13" s="98">
        <v>11</v>
      </c>
      <c r="B13" s="117" t="s">
        <v>1300</v>
      </c>
      <c r="C13" s="72" t="s">
        <v>1148</v>
      </c>
      <c r="D13" s="118">
        <v>296</v>
      </c>
      <c r="E13" s="98">
        <v>38</v>
      </c>
      <c r="F13" s="98">
        <v>78</v>
      </c>
      <c r="G13" s="98">
        <v>66</v>
      </c>
      <c r="H13" s="98">
        <v>80</v>
      </c>
      <c r="I13" s="98">
        <v>66</v>
      </c>
      <c r="J13" s="98">
        <v>49</v>
      </c>
      <c r="K13" s="98">
        <v>69</v>
      </c>
      <c r="L13" s="98">
        <v>38</v>
      </c>
      <c r="M13" s="98">
        <v>35</v>
      </c>
      <c r="N13" s="69">
        <f>SUM(E13:K13)</f>
        <v>446</v>
      </c>
      <c r="O13">
        <v>23</v>
      </c>
    </row>
    <row r="14" spans="1:17" ht="19.5">
      <c r="A14" s="98">
        <v>12</v>
      </c>
      <c r="B14" s="117" t="s">
        <v>1115</v>
      </c>
      <c r="C14" s="72" t="s">
        <v>1116</v>
      </c>
      <c r="D14" s="118">
        <v>182</v>
      </c>
      <c r="E14" s="98">
        <v>51</v>
      </c>
      <c r="F14" s="98">
        <v>77</v>
      </c>
      <c r="G14" s="98">
        <v>79</v>
      </c>
      <c r="H14" s="98">
        <v>77</v>
      </c>
      <c r="I14" s="98">
        <v>60</v>
      </c>
      <c r="J14" s="98">
        <v>35</v>
      </c>
      <c r="K14" s="98">
        <v>65</v>
      </c>
      <c r="L14" s="98">
        <v>38</v>
      </c>
      <c r="M14" s="98">
        <v>46</v>
      </c>
      <c r="N14" s="69">
        <f>SUM(E14:K14)</f>
        <v>444</v>
      </c>
      <c r="O14">
        <v>3</v>
      </c>
    </row>
    <row r="15" spans="1:17" ht="19.5">
      <c r="A15" s="98">
        <v>13</v>
      </c>
      <c r="B15" s="117" t="s">
        <v>1127</v>
      </c>
      <c r="C15" s="72" t="s">
        <v>1128</v>
      </c>
      <c r="D15" s="120">
        <v>528</v>
      </c>
      <c r="E15" s="98">
        <v>50</v>
      </c>
      <c r="F15" s="98">
        <v>72</v>
      </c>
      <c r="G15" s="98">
        <v>69</v>
      </c>
      <c r="H15" s="98">
        <v>74</v>
      </c>
      <c r="I15" s="98">
        <v>62</v>
      </c>
      <c r="J15" s="98">
        <v>44</v>
      </c>
      <c r="K15" s="98">
        <v>71</v>
      </c>
      <c r="L15" s="98">
        <v>33</v>
      </c>
      <c r="M15" s="98">
        <v>23</v>
      </c>
      <c r="N15" s="69">
        <f>SUM(E15:K15)</f>
        <v>442</v>
      </c>
      <c r="O15">
        <v>10</v>
      </c>
    </row>
    <row r="16" spans="1:17" ht="19.5">
      <c r="A16" s="98">
        <v>14</v>
      </c>
      <c r="B16" s="117" t="s">
        <v>1156</v>
      </c>
      <c r="C16" s="72" t="s">
        <v>1157</v>
      </c>
      <c r="D16" s="118">
        <v>314</v>
      </c>
      <c r="E16" s="98">
        <v>57</v>
      </c>
      <c r="F16" s="98">
        <v>77</v>
      </c>
      <c r="G16" s="98">
        <v>71</v>
      </c>
      <c r="H16" s="98">
        <v>70</v>
      </c>
      <c r="I16" s="98">
        <v>52</v>
      </c>
      <c r="J16" s="98">
        <v>53</v>
      </c>
      <c r="K16" s="98">
        <v>58</v>
      </c>
      <c r="L16" s="98">
        <v>39</v>
      </c>
      <c r="M16" s="98">
        <v>46</v>
      </c>
      <c r="N16" s="69">
        <f>SUM(E16:K16)</f>
        <v>438</v>
      </c>
      <c r="O16">
        <v>28</v>
      </c>
    </row>
    <row r="17" spans="1:15" ht="19.5">
      <c r="A17" s="98">
        <v>15</v>
      </c>
      <c r="B17" s="117" t="s">
        <v>1151</v>
      </c>
      <c r="C17" s="72" t="s">
        <v>1152</v>
      </c>
      <c r="D17" s="118">
        <v>301</v>
      </c>
      <c r="E17" s="98">
        <v>55</v>
      </c>
      <c r="F17" s="98">
        <v>74</v>
      </c>
      <c r="G17" s="98">
        <v>59</v>
      </c>
      <c r="H17" s="98">
        <v>73</v>
      </c>
      <c r="I17" s="98">
        <v>57</v>
      </c>
      <c r="J17" s="98">
        <v>50</v>
      </c>
      <c r="K17" s="98">
        <v>58</v>
      </c>
      <c r="L17" s="98">
        <v>42</v>
      </c>
      <c r="M17" s="98">
        <v>37</v>
      </c>
      <c r="N17" s="69">
        <f>SUM(E17:K17)</f>
        <v>426</v>
      </c>
      <c r="O17">
        <v>25</v>
      </c>
    </row>
    <row r="18" spans="1:15" ht="19.5">
      <c r="A18" s="98">
        <v>16</v>
      </c>
      <c r="B18" s="117" t="s">
        <v>1171</v>
      </c>
      <c r="C18" s="72" t="s">
        <v>1172</v>
      </c>
      <c r="D18" s="118">
        <v>412</v>
      </c>
      <c r="E18" s="98">
        <v>42</v>
      </c>
      <c r="F18" s="98">
        <v>73</v>
      </c>
      <c r="G18" s="98">
        <v>65</v>
      </c>
      <c r="H18" s="98">
        <v>78</v>
      </c>
      <c r="I18" s="98">
        <v>63</v>
      </c>
      <c r="J18" s="98">
        <v>41</v>
      </c>
      <c r="K18" s="98">
        <v>60</v>
      </c>
      <c r="L18" s="98">
        <v>35</v>
      </c>
      <c r="M18" s="98">
        <v>34</v>
      </c>
      <c r="N18" s="69">
        <f>SUM(E18:K18)</f>
        <v>422</v>
      </c>
      <c r="O18">
        <v>37</v>
      </c>
    </row>
    <row r="19" spans="1:15" ht="19.5">
      <c r="A19" s="98">
        <v>17</v>
      </c>
      <c r="B19" s="117" t="s">
        <v>611</v>
      </c>
      <c r="C19" s="72" t="s">
        <v>1153</v>
      </c>
      <c r="D19" s="118">
        <v>302</v>
      </c>
      <c r="E19" s="98">
        <v>52</v>
      </c>
      <c r="F19" s="98">
        <v>70</v>
      </c>
      <c r="G19" s="98">
        <v>73</v>
      </c>
      <c r="H19" s="98">
        <v>52</v>
      </c>
      <c r="I19" s="98">
        <v>65</v>
      </c>
      <c r="J19" s="98">
        <v>51</v>
      </c>
      <c r="K19" s="98">
        <v>50</v>
      </c>
      <c r="L19" s="98">
        <v>25</v>
      </c>
      <c r="M19" s="98">
        <v>44</v>
      </c>
      <c r="N19" s="69">
        <f>SUM(E19:K19)</f>
        <v>413</v>
      </c>
      <c r="O19">
        <v>26</v>
      </c>
    </row>
    <row r="20" spans="1:15" ht="19.5">
      <c r="A20" s="98">
        <v>18</v>
      </c>
      <c r="B20" s="117" t="s">
        <v>1132</v>
      </c>
      <c r="C20" s="72" t="s">
        <v>1133</v>
      </c>
      <c r="D20" s="118">
        <v>250</v>
      </c>
      <c r="E20" s="98">
        <v>47</v>
      </c>
      <c r="F20" s="98">
        <v>56</v>
      </c>
      <c r="G20" s="98">
        <v>64</v>
      </c>
      <c r="H20" s="98">
        <v>62</v>
      </c>
      <c r="I20" s="98">
        <v>68</v>
      </c>
      <c r="J20" s="98">
        <v>55</v>
      </c>
      <c r="K20" s="98">
        <v>61</v>
      </c>
      <c r="L20" s="98">
        <v>30</v>
      </c>
      <c r="M20" s="98">
        <v>36</v>
      </c>
      <c r="N20" s="69">
        <f>SUM(E20:K20)</f>
        <v>413</v>
      </c>
      <c r="O20">
        <v>14</v>
      </c>
    </row>
    <row r="21" spans="1:15" ht="19.5">
      <c r="A21" s="98">
        <v>19</v>
      </c>
      <c r="B21" s="117" t="s">
        <v>395</v>
      </c>
      <c r="C21" s="72" t="s">
        <v>1114</v>
      </c>
      <c r="D21" s="118">
        <v>179</v>
      </c>
      <c r="E21" s="98">
        <v>48</v>
      </c>
      <c r="F21" s="98">
        <v>78</v>
      </c>
      <c r="G21" s="98">
        <v>74</v>
      </c>
      <c r="H21" s="98">
        <v>62</v>
      </c>
      <c r="I21" s="98">
        <v>54</v>
      </c>
      <c r="J21" s="98">
        <v>38</v>
      </c>
      <c r="K21" s="98">
        <v>58</v>
      </c>
      <c r="L21" s="98">
        <v>36</v>
      </c>
      <c r="M21" s="98">
        <v>26</v>
      </c>
      <c r="N21" s="69">
        <f>SUM(E21:K21)</f>
        <v>412</v>
      </c>
      <c r="O21">
        <v>2</v>
      </c>
    </row>
    <row r="22" spans="1:15" ht="19.5">
      <c r="A22" s="98">
        <v>20</v>
      </c>
      <c r="B22" s="117" t="s">
        <v>1119</v>
      </c>
      <c r="C22" s="72" t="s">
        <v>1120</v>
      </c>
      <c r="D22" s="118">
        <v>195</v>
      </c>
      <c r="E22" s="98">
        <v>55</v>
      </c>
      <c r="F22" s="98">
        <v>69</v>
      </c>
      <c r="G22" s="98">
        <v>58</v>
      </c>
      <c r="H22" s="98">
        <v>42</v>
      </c>
      <c r="I22" s="98">
        <v>48</v>
      </c>
      <c r="J22" s="98">
        <v>62</v>
      </c>
      <c r="K22" s="98">
        <v>61</v>
      </c>
      <c r="L22" s="98">
        <v>40</v>
      </c>
      <c r="M22" s="98">
        <v>38</v>
      </c>
      <c r="N22" s="69">
        <f>SUM(E22:K22)</f>
        <v>395</v>
      </c>
      <c r="O22">
        <v>6</v>
      </c>
    </row>
    <row r="23" spans="1:15" ht="19.5">
      <c r="A23" s="98">
        <v>21</v>
      </c>
      <c r="B23" s="117" t="s">
        <v>1166</v>
      </c>
      <c r="C23" s="72" t="s">
        <v>1167</v>
      </c>
      <c r="D23" s="118">
        <v>387</v>
      </c>
      <c r="E23" s="98">
        <v>43</v>
      </c>
      <c r="F23" s="98">
        <v>85</v>
      </c>
      <c r="G23" s="98">
        <v>66</v>
      </c>
      <c r="H23" s="98">
        <v>57</v>
      </c>
      <c r="I23" s="98">
        <v>47</v>
      </c>
      <c r="J23" s="98">
        <v>35</v>
      </c>
      <c r="K23" s="98">
        <v>60</v>
      </c>
      <c r="L23" s="98">
        <v>40</v>
      </c>
      <c r="M23" s="98">
        <v>38</v>
      </c>
      <c r="N23" s="69">
        <f>SUM(E23:K23)</f>
        <v>393</v>
      </c>
      <c r="O23">
        <v>34</v>
      </c>
    </row>
    <row r="24" spans="1:15" ht="19.5">
      <c r="A24" s="98">
        <v>22</v>
      </c>
      <c r="B24" s="117" t="s">
        <v>1147</v>
      </c>
      <c r="C24" s="72" t="s">
        <v>1126</v>
      </c>
      <c r="D24" s="118">
        <v>294</v>
      </c>
      <c r="E24" s="98">
        <v>42</v>
      </c>
      <c r="F24" s="98">
        <v>70</v>
      </c>
      <c r="G24" s="98">
        <v>70</v>
      </c>
      <c r="H24" s="98">
        <v>63</v>
      </c>
      <c r="I24" s="98">
        <v>48</v>
      </c>
      <c r="J24" s="98">
        <v>45</v>
      </c>
      <c r="K24" s="98">
        <v>54</v>
      </c>
      <c r="L24" s="98">
        <v>26</v>
      </c>
      <c r="M24" s="98">
        <v>42</v>
      </c>
      <c r="N24" s="69">
        <f>SUM(E24:K24)</f>
        <v>392</v>
      </c>
      <c r="O24">
        <v>22</v>
      </c>
    </row>
    <row r="25" spans="1:15" ht="19.5">
      <c r="A25" s="98">
        <v>23</v>
      </c>
      <c r="B25" s="117" t="s">
        <v>1165</v>
      </c>
      <c r="C25" s="72" t="s">
        <v>846</v>
      </c>
      <c r="D25" s="118">
        <v>372</v>
      </c>
      <c r="E25" s="98">
        <v>47</v>
      </c>
      <c r="F25" s="98">
        <v>58</v>
      </c>
      <c r="G25" s="98">
        <v>62</v>
      </c>
      <c r="H25" s="98">
        <v>55</v>
      </c>
      <c r="I25" s="98">
        <v>55</v>
      </c>
      <c r="J25" s="98">
        <v>41</v>
      </c>
      <c r="K25" s="98">
        <v>39</v>
      </c>
      <c r="L25" s="98">
        <v>25</v>
      </c>
      <c r="M25" s="98">
        <v>35</v>
      </c>
      <c r="N25" s="69">
        <f>SUM(E25:K25)</f>
        <v>357</v>
      </c>
      <c r="O25">
        <v>33</v>
      </c>
    </row>
    <row r="26" spans="1:15" ht="19.5">
      <c r="A26" s="98">
        <v>24</v>
      </c>
      <c r="B26" s="117" t="s">
        <v>1161</v>
      </c>
      <c r="C26" s="72" t="s">
        <v>1162</v>
      </c>
      <c r="D26" s="118">
        <v>324</v>
      </c>
      <c r="E26" s="98">
        <v>46</v>
      </c>
      <c r="F26" s="98">
        <v>65</v>
      </c>
      <c r="G26" s="98">
        <v>52</v>
      </c>
      <c r="H26" s="98">
        <v>60</v>
      </c>
      <c r="I26" s="98">
        <v>44</v>
      </c>
      <c r="J26" s="98">
        <v>35</v>
      </c>
      <c r="K26" s="98">
        <v>49</v>
      </c>
      <c r="L26" s="98">
        <v>38</v>
      </c>
      <c r="M26" s="98">
        <v>30</v>
      </c>
      <c r="N26" s="69">
        <f>SUM(E26:K26)</f>
        <v>351</v>
      </c>
      <c r="O26">
        <v>31</v>
      </c>
    </row>
    <row r="27" spans="1:15" ht="19.5">
      <c r="A27" s="98">
        <v>25</v>
      </c>
      <c r="B27" s="117" t="s">
        <v>1134</v>
      </c>
      <c r="C27" s="72" t="s">
        <v>1135</v>
      </c>
      <c r="D27" s="118">
        <v>251</v>
      </c>
      <c r="E27" s="98">
        <v>35</v>
      </c>
      <c r="F27" s="98">
        <v>63</v>
      </c>
      <c r="G27" s="98">
        <v>56</v>
      </c>
      <c r="H27" s="98">
        <v>48</v>
      </c>
      <c r="I27" s="98">
        <v>50</v>
      </c>
      <c r="J27" s="98">
        <v>35</v>
      </c>
      <c r="K27" s="98">
        <v>40</v>
      </c>
      <c r="L27" s="98">
        <v>40</v>
      </c>
      <c r="M27" s="98">
        <v>38</v>
      </c>
      <c r="N27" s="69">
        <f>SUM(E27:K27)</f>
        <v>327</v>
      </c>
      <c r="O27">
        <v>15</v>
      </c>
    </row>
    <row r="28" spans="1:15" ht="19.5">
      <c r="A28" s="98">
        <v>26</v>
      </c>
      <c r="B28" s="117" t="s">
        <v>1319</v>
      </c>
      <c r="C28" s="72" t="s">
        <v>1142</v>
      </c>
      <c r="D28" s="118">
        <v>287</v>
      </c>
      <c r="E28" s="98">
        <v>35</v>
      </c>
      <c r="F28" s="98">
        <v>50</v>
      </c>
      <c r="G28" s="98">
        <v>61</v>
      </c>
      <c r="H28" s="98">
        <v>44</v>
      </c>
      <c r="I28" s="98">
        <v>47</v>
      </c>
      <c r="J28" s="98">
        <v>35</v>
      </c>
      <c r="K28" s="98">
        <v>50</v>
      </c>
      <c r="L28" s="98">
        <v>37</v>
      </c>
      <c r="M28" s="98">
        <v>29</v>
      </c>
      <c r="N28" s="69">
        <f>SUM(E28:K28)</f>
        <v>322</v>
      </c>
      <c r="O28">
        <v>19</v>
      </c>
    </row>
    <row r="29" spans="1:15" ht="19.5">
      <c r="A29" s="98">
        <v>27</v>
      </c>
      <c r="B29" s="117" t="s">
        <v>1159</v>
      </c>
      <c r="C29" s="72" t="s">
        <v>1160</v>
      </c>
      <c r="D29" s="118">
        <v>323</v>
      </c>
      <c r="E29" s="98">
        <v>40</v>
      </c>
      <c r="F29" s="98">
        <v>47</v>
      </c>
      <c r="G29" s="98">
        <v>60</v>
      </c>
      <c r="H29" s="98">
        <v>57</v>
      </c>
      <c r="I29" s="98">
        <v>46</v>
      </c>
      <c r="J29" s="98">
        <v>35</v>
      </c>
      <c r="K29" s="98">
        <v>36</v>
      </c>
      <c r="L29" s="98">
        <v>30</v>
      </c>
      <c r="M29" s="98">
        <v>20</v>
      </c>
      <c r="N29" s="69">
        <f>SUM(E29:K29)</f>
        <v>321</v>
      </c>
      <c r="O29">
        <v>30</v>
      </c>
    </row>
    <row r="30" spans="1:15" ht="19.5">
      <c r="A30" s="98">
        <v>28</v>
      </c>
      <c r="B30" s="117" t="s">
        <v>1169</v>
      </c>
      <c r="C30" s="72" t="s">
        <v>1170</v>
      </c>
      <c r="D30" s="118">
        <v>407</v>
      </c>
      <c r="E30" s="98">
        <v>38</v>
      </c>
      <c r="F30" s="98">
        <v>54</v>
      </c>
      <c r="G30" s="98">
        <v>53</v>
      </c>
      <c r="H30" s="98">
        <v>49</v>
      </c>
      <c r="I30" s="98">
        <v>35</v>
      </c>
      <c r="J30" s="98">
        <v>35</v>
      </c>
      <c r="K30" s="98">
        <v>49</v>
      </c>
      <c r="L30" s="98">
        <v>39</v>
      </c>
      <c r="M30" s="98">
        <v>32</v>
      </c>
      <c r="N30" s="69">
        <f>SUM(E30:K30)</f>
        <v>313</v>
      </c>
      <c r="O30">
        <v>36</v>
      </c>
    </row>
    <row r="31" spans="1:15" ht="19.5">
      <c r="A31" s="98">
        <v>29</v>
      </c>
      <c r="B31" s="117" t="s">
        <v>1149</v>
      </c>
      <c r="C31" s="72" t="s">
        <v>1150</v>
      </c>
      <c r="D31" s="118">
        <v>297</v>
      </c>
      <c r="E31" s="98">
        <v>35</v>
      </c>
      <c r="F31" s="98">
        <v>46</v>
      </c>
      <c r="G31" s="98">
        <v>55</v>
      </c>
      <c r="H31" s="98">
        <v>49</v>
      </c>
      <c r="I31" s="98">
        <v>38</v>
      </c>
      <c r="J31" s="98">
        <v>36</v>
      </c>
      <c r="K31" s="98">
        <v>53</v>
      </c>
      <c r="L31" s="98">
        <v>35</v>
      </c>
      <c r="M31" s="98">
        <v>28</v>
      </c>
      <c r="N31" s="69">
        <f>SUM(E31:K31)</f>
        <v>312</v>
      </c>
      <c r="O31">
        <v>24</v>
      </c>
    </row>
    <row r="32" spans="1:15" ht="19.5">
      <c r="A32" s="98">
        <v>30</v>
      </c>
      <c r="B32" s="117" t="s">
        <v>1302</v>
      </c>
      <c r="C32" s="72" t="s">
        <v>1117</v>
      </c>
      <c r="D32" s="118">
        <v>185</v>
      </c>
      <c r="E32" s="98">
        <v>25</v>
      </c>
      <c r="F32" s="98">
        <v>73</v>
      </c>
      <c r="G32" s="98">
        <v>58</v>
      </c>
      <c r="H32" s="98">
        <v>60</v>
      </c>
      <c r="I32" s="98">
        <v>39</v>
      </c>
      <c r="J32" s="98">
        <v>17</v>
      </c>
      <c r="K32" s="98">
        <v>37</v>
      </c>
      <c r="L32" s="98">
        <v>25</v>
      </c>
      <c r="M32" s="98">
        <v>30</v>
      </c>
      <c r="N32" s="69">
        <f>SUM(E32:K32)</f>
        <v>309</v>
      </c>
      <c r="O32">
        <v>4</v>
      </c>
    </row>
    <row r="33" spans="1:17" ht="19.5">
      <c r="A33" s="98">
        <v>31</v>
      </c>
      <c r="B33" s="117" t="s">
        <v>1163</v>
      </c>
      <c r="C33" s="72" t="s">
        <v>1164</v>
      </c>
      <c r="D33" s="118">
        <v>331</v>
      </c>
      <c r="E33" s="98">
        <v>36</v>
      </c>
      <c r="F33" s="98">
        <v>62</v>
      </c>
      <c r="G33" s="98">
        <v>47</v>
      </c>
      <c r="H33" s="98">
        <v>48</v>
      </c>
      <c r="I33" s="98">
        <v>35</v>
      </c>
      <c r="J33" s="98">
        <v>16</v>
      </c>
      <c r="K33" s="98">
        <v>25</v>
      </c>
      <c r="L33" s="98">
        <v>41</v>
      </c>
      <c r="M33" s="98">
        <v>35</v>
      </c>
      <c r="N33" s="69">
        <f>SUM(E33:K33)</f>
        <v>269</v>
      </c>
      <c r="O33">
        <v>32</v>
      </c>
      <c r="P33" s="3"/>
      <c r="Q33" s="3"/>
    </row>
    <row r="34" spans="1:17" ht="19.5">
      <c r="A34" s="98">
        <v>32</v>
      </c>
      <c r="B34" s="117" t="s">
        <v>1145</v>
      </c>
      <c r="C34" s="72" t="s">
        <v>1146</v>
      </c>
      <c r="D34" s="118">
        <v>291</v>
      </c>
      <c r="E34" s="98">
        <v>41</v>
      </c>
      <c r="F34" s="98">
        <v>62</v>
      </c>
      <c r="G34" s="98">
        <v>59</v>
      </c>
      <c r="H34" s="98">
        <v>56</v>
      </c>
      <c r="I34" s="98">
        <v>43</v>
      </c>
      <c r="J34" s="98">
        <v>35</v>
      </c>
      <c r="K34" s="98">
        <v>42</v>
      </c>
      <c r="L34" s="98">
        <v>23</v>
      </c>
      <c r="M34" s="98">
        <v>29</v>
      </c>
      <c r="N34" s="69">
        <f>SUM(E34:K34)</f>
        <v>338</v>
      </c>
      <c r="O34">
        <v>21</v>
      </c>
    </row>
    <row r="35" spans="1:17" ht="19.5">
      <c r="A35" s="98">
        <v>33</v>
      </c>
      <c r="B35" s="117" t="s">
        <v>614</v>
      </c>
      <c r="C35" s="72" t="s">
        <v>1131</v>
      </c>
      <c r="D35" s="118">
        <v>243</v>
      </c>
      <c r="E35" s="98">
        <v>35</v>
      </c>
      <c r="F35" s="98">
        <v>54</v>
      </c>
      <c r="G35" s="98">
        <v>48</v>
      </c>
      <c r="H35" s="98">
        <v>44</v>
      </c>
      <c r="I35" s="98">
        <v>35</v>
      </c>
      <c r="J35" s="98">
        <v>8</v>
      </c>
      <c r="K35" s="98">
        <v>35</v>
      </c>
      <c r="L35" s="98">
        <v>23</v>
      </c>
      <c r="M35" s="98">
        <v>20</v>
      </c>
      <c r="N35" s="69">
        <f>SUM(E35:K35)</f>
        <v>259</v>
      </c>
      <c r="O35">
        <v>13</v>
      </c>
    </row>
    <row r="36" spans="1:17" ht="19.5">
      <c r="A36" s="98">
        <v>34</v>
      </c>
      <c r="B36" s="117" t="s">
        <v>399</v>
      </c>
      <c r="C36" s="72" t="s">
        <v>1131</v>
      </c>
      <c r="D36" s="118">
        <v>242</v>
      </c>
      <c r="E36" s="98">
        <v>27</v>
      </c>
      <c r="F36" s="98">
        <v>55</v>
      </c>
      <c r="G36" s="98">
        <v>51</v>
      </c>
      <c r="H36" s="98">
        <v>48</v>
      </c>
      <c r="I36" s="98">
        <v>35</v>
      </c>
      <c r="J36" s="98">
        <v>16</v>
      </c>
      <c r="K36" s="98">
        <v>37</v>
      </c>
      <c r="L36" s="98">
        <v>25</v>
      </c>
      <c r="M36" s="98">
        <v>36</v>
      </c>
      <c r="N36" s="69">
        <f>SUM(E36:K36)</f>
        <v>269</v>
      </c>
      <c r="O36">
        <v>12</v>
      </c>
    </row>
    <row r="37" spans="1:17" ht="19.5">
      <c r="A37" s="98">
        <v>35</v>
      </c>
      <c r="B37" s="117" t="s">
        <v>1138</v>
      </c>
      <c r="C37" s="72" t="s">
        <v>1139</v>
      </c>
      <c r="D37" s="118">
        <v>259</v>
      </c>
      <c r="E37" s="98">
        <v>20</v>
      </c>
      <c r="F37" s="98">
        <v>50</v>
      </c>
      <c r="G37" s="98">
        <v>48</v>
      </c>
      <c r="H37" s="98">
        <v>43</v>
      </c>
      <c r="I37" s="98">
        <v>35</v>
      </c>
      <c r="J37" s="98">
        <v>35</v>
      </c>
      <c r="K37" s="98">
        <v>29</v>
      </c>
      <c r="L37" s="98">
        <v>20</v>
      </c>
      <c r="M37" s="98">
        <v>26</v>
      </c>
      <c r="N37" s="69">
        <f>SUM(E37:K37)</f>
        <v>260</v>
      </c>
      <c r="O37">
        <v>17</v>
      </c>
    </row>
    <row r="38" spans="1:17" ht="19.5">
      <c r="A38" s="98">
        <v>36</v>
      </c>
      <c r="B38" s="116" t="s">
        <v>1301</v>
      </c>
      <c r="C38" s="72" t="s">
        <v>1118</v>
      </c>
      <c r="D38" s="118">
        <v>190</v>
      </c>
      <c r="E38" s="98">
        <v>20</v>
      </c>
      <c r="F38" s="98">
        <v>50</v>
      </c>
      <c r="G38" s="98">
        <v>46</v>
      </c>
      <c r="H38" s="98">
        <v>36</v>
      </c>
      <c r="I38" s="98">
        <v>35</v>
      </c>
      <c r="J38" s="98">
        <v>35</v>
      </c>
      <c r="K38" s="98">
        <v>14</v>
      </c>
      <c r="L38" s="98">
        <v>37</v>
      </c>
      <c r="M38" s="98">
        <v>25</v>
      </c>
      <c r="N38" s="69">
        <f>SUM(E38:K38)</f>
        <v>236</v>
      </c>
      <c r="O38">
        <v>5</v>
      </c>
    </row>
    <row r="39" spans="1:17" ht="19.5">
      <c r="A39" s="98">
        <v>37</v>
      </c>
      <c r="B39" s="117" t="s">
        <v>1129</v>
      </c>
      <c r="C39" s="72" t="s">
        <v>1130</v>
      </c>
      <c r="D39" s="118">
        <v>238</v>
      </c>
      <c r="E39" s="98">
        <v>18</v>
      </c>
      <c r="F39" s="98">
        <v>36</v>
      </c>
      <c r="G39" s="98">
        <v>43</v>
      </c>
      <c r="H39" s="98">
        <v>42</v>
      </c>
      <c r="I39" s="98">
        <v>28</v>
      </c>
      <c r="J39" s="98">
        <v>9</v>
      </c>
      <c r="K39" s="98">
        <v>35</v>
      </c>
      <c r="L39" s="98">
        <v>30</v>
      </c>
      <c r="M39" s="98">
        <v>33</v>
      </c>
      <c r="N39" s="69">
        <f>SUM(E39:K39)</f>
        <v>211</v>
      </c>
      <c r="O39">
        <v>11</v>
      </c>
    </row>
    <row r="40" spans="1:17" ht="19.5">
      <c r="A40" s="98">
        <v>38</v>
      </c>
      <c r="B40" s="117" t="s">
        <v>1123</v>
      </c>
      <c r="C40" s="72" t="s">
        <v>1124</v>
      </c>
      <c r="D40" s="118">
        <v>197</v>
      </c>
      <c r="N40" s="69">
        <f>SUM(E40:K40)</f>
        <v>0</v>
      </c>
      <c r="O40">
        <v>8</v>
      </c>
    </row>
    <row r="41" spans="1:17" ht="19.5">
      <c r="A41" s="98">
        <v>39</v>
      </c>
      <c r="B41" s="117" t="s">
        <v>1121</v>
      </c>
      <c r="C41" s="72" t="s">
        <v>1122</v>
      </c>
      <c r="D41" s="118">
        <v>196</v>
      </c>
      <c r="N41" s="69">
        <f>SUM(E41:K41)</f>
        <v>0</v>
      </c>
      <c r="O41">
        <v>7</v>
      </c>
    </row>
  </sheetData>
  <sortState ref="A1:O41">
    <sortCondition descending="1" ref="N3"/>
  </sortState>
  <conditionalFormatting sqref="E3:K41">
    <cfRule type="cellIs" dxfId="1" priority="3" operator="lessThan">
      <formula>35</formula>
    </cfRule>
  </conditionalFormatting>
  <conditionalFormatting sqref="L3:L41">
    <cfRule type="cellIs" dxfId="0" priority="1" operator="lessThan">
      <formula>25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2"/>
  <sheetViews>
    <sheetView topLeftCell="A4" workbookViewId="0">
      <selection activeCell="G7" sqref="G7"/>
    </sheetView>
  </sheetViews>
  <sheetFormatPr defaultRowHeight="15.75"/>
  <cols>
    <col min="2" max="2" width="27.75" customWidth="1"/>
    <col min="5" max="14" width="9" style="98"/>
  </cols>
  <sheetData>
    <row r="1" spans="1:17" ht="153.75" customHeight="1">
      <c r="A1" t="s">
        <v>0</v>
      </c>
      <c r="B1" t="s">
        <v>1</v>
      </c>
      <c r="C1" t="s">
        <v>2</v>
      </c>
      <c r="D1" t="s">
        <v>3</v>
      </c>
      <c r="E1" s="121" t="s">
        <v>1298</v>
      </c>
      <c r="F1" s="121" t="s">
        <v>127</v>
      </c>
      <c r="G1" s="121" t="s">
        <v>203</v>
      </c>
      <c r="H1" s="121" t="s">
        <v>172</v>
      </c>
      <c r="I1" s="121" t="s">
        <v>103</v>
      </c>
      <c r="J1" s="121" t="s">
        <v>1299</v>
      </c>
      <c r="K1" s="121" t="s">
        <v>136</v>
      </c>
      <c r="L1" s="121" t="s">
        <v>1288</v>
      </c>
      <c r="M1" s="121" t="s">
        <v>1289</v>
      </c>
      <c r="N1" s="121"/>
      <c r="O1" s="1"/>
      <c r="P1" t="s">
        <v>0</v>
      </c>
    </row>
    <row r="2" spans="1:17" s="4" customFormat="1" ht="24.75" hidden="1" customHeight="1">
      <c r="E2" s="122" t="s">
        <v>235</v>
      </c>
      <c r="F2" s="122" t="s">
        <v>236</v>
      </c>
      <c r="G2" s="122" t="s">
        <v>237</v>
      </c>
      <c r="H2" s="122" t="s">
        <v>238</v>
      </c>
      <c r="I2" s="122" t="s">
        <v>239</v>
      </c>
      <c r="J2" s="122" t="s">
        <v>241</v>
      </c>
      <c r="K2" s="122" t="s">
        <v>240</v>
      </c>
      <c r="L2" s="122" t="s">
        <v>242</v>
      </c>
      <c r="M2" s="122" t="s">
        <v>243</v>
      </c>
      <c r="N2" s="122"/>
    </row>
    <row r="3" spans="1:17" ht="19.5">
      <c r="A3">
        <v>1</v>
      </c>
      <c r="B3" s="11" t="s">
        <v>1095</v>
      </c>
      <c r="C3" s="72" t="s">
        <v>1096</v>
      </c>
      <c r="D3" s="73">
        <v>299</v>
      </c>
      <c r="E3" s="98">
        <v>87</v>
      </c>
      <c r="F3" s="98">
        <v>88</v>
      </c>
      <c r="G3" s="98">
        <v>96</v>
      </c>
      <c r="H3" s="98">
        <v>86</v>
      </c>
      <c r="I3" s="98">
        <v>65</v>
      </c>
      <c r="J3" s="98">
        <v>92</v>
      </c>
      <c r="K3" s="98">
        <v>90</v>
      </c>
      <c r="L3" s="98">
        <v>45</v>
      </c>
      <c r="M3" s="98">
        <v>28</v>
      </c>
      <c r="O3">
        <f t="shared" ref="O3:O22" si="0">SUM(E3:K3)</f>
        <v>604</v>
      </c>
      <c r="P3">
        <v>10</v>
      </c>
    </row>
    <row r="4" spans="1:17" ht="19.5">
      <c r="A4">
        <v>2</v>
      </c>
      <c r="B4" s="11" t="s">
        <v>1093</v>
      </c>
      <c r="C4" s="72" t="s">
        <v>1094</v>
      </c>
      <c r="D4" s="73">
        <v>298</v>
      </c>
      <c r="E4" s="98">
        <v>86</v>
      </c>
      <c r="F4" s="98">
        <v>81</v>
      </c>
      <c r="G4" s="98">
        <v>94</v>
      </c>
      <c r="H4" s="98">
        <v>89</v>
      </c>
      <c r="I4" s="98">
        <v>77</v>
      </c>
      <c r="J4" s="98">
        <v>91</v>
      </c>
      <c r="K4" s="98">
        <v>83</v>
      </c>
      <c r="L4" s="98">
        <v>30</v>
      </c>
      <c r="M4" s="98">
        <v>38</v>
      </c>
      <c r="O4">
        <f t="shared" si="0"/>
        <v>601</v>
      </c>
      <c r="P4">
        <v>9</v>
      </c>
      <c r="Q4" s="3"/>
    </row>
    <row r="5" spans="1:17" ht="19.5">
      <c r="A5">
        <v>3</v>
      </c>
      <c r="B5" s="11" t="s">
        <v>1097</v>
      </c>
      <c r="C5" s="72" t="s">
        <v>1098</v>
      </c>
      <c r="D5" s="73">
        <v>304</v>
      </c>
      <c r="E5" s="98">
        <v>77</v>
      </c>
      <c r="F5" s="98">
        <v>46</v>
      </c>
      <c r="G5" s="98">
        <v>66</v>
      </c>
      <c r="H5" s="98">
        <v>65</v>
      </c>
      <c r="I5" s="98">
        <v>58</v>
      </c>
      <c r="J5" s="98">
        <v>85</v>
      </c>
      <c r="K5" s="98">
        <v>67</v>
      </c>
      <c r="L5" s="98">
        <v>35</v>
      </c>
      <c r="M5" s="98">
        <v>30</v>
      </c>
      <c r="O5">
        <f t="shared" si="0"/>
        <v>464</v>
      </c>
      <c r="P5">
        <v>11</v>
      </c>
      <c r="Q5" s="3"/>
    </row>
    <row r="6" spans="1:17" ht="19.5">
      <c r="A6">
        <v>4</v>
      </c>
      <c r="B6" s="11" t="s">
        <v>1101</v>
      </c>
      <c r="C6" s="72" t="s">
        <v>1102</v>
      </c>
      <c r="D6" s="73">
        <v>306</v>
      </c>
      <c r="E6" s="98">
        <v>56</v>
      </c>
      <c r="F6" s="98">
        <v>70</v>
      </c>
      <c r="G6" s="98">
        <v>69</v>
      </c>
      <c r="H6" s="98">
        <v>76</v>
      </c>
      <c r="I6" s="98">
        <v>54</v>
      </c>
      <c r="J6" s="98">
        <v>59</v>
      </c>
      <c r="K6" s="98">
        <v>73</v>
      </c>
      <c r="L6" s="98">
        <v>37</v>
      </c>
      <c r="M6" s="98">
        <v>28</v>
      </c>
      <c r="O6">
        <f t="shared" si="0"/>
        <v>457</v>
      </c>
      <c r="P6">
        <v>13</v>
      </c>
      <c r="Q6" s="3"/>
    </row>
    <row r="7" spans="1:17" ht="19.5">
      <c r="A7">
        <v>5</v>
      </c>
      <c r="B7" s="11" t="s">
        <v>1091</v>
      </c>
      <c r="C7" s="72" t="s">
        <v>1092</v>
      </c>
      <c r="D7" s="73">
        <v>278</v>
      </c>
      <c r="E7" s="98">
        <v>58</v>
      </c>
      <c r="F7" s="98">
        <v>51</v>
      </c>
      <c r="G7" s="98">
        <v>64</v>
      </c>
      <c r="H7" s="98">
        <v>80</v>
      </c>
      <c r="I7" s="98">
        <v>53</v>
      </c>
      <c r="J7" s="98">
        <v>62</v>
      </c>
      <c r="K7" s="98">
        <v>55</v>
      </c>
      <c r="L7" s="98">
        <v>48</v>
      </c>
      <c r="M7" s="98">
        <v>38</v>
      </c>
      <c r="O7">
        <f t="shared" si="0"/>
        <v>423</v>
      </c>
      <c r="P7">
        <v>8</v>
      </c>
      <c r="Q7" s="3"/>
    </row>
    <row r="8" spans="1:17" ht="19.5">
      <c r="A8">
        <v>6</v>
      </c>
      <c r="B8" s="11" t="s">
        <v>1303</v>
      </c>
      <c r="C8" s="72" t="s">
        <v>977</v>
      </c>
      <c r="D8" s="73">
        <v>340</v>
      </c>
      <c r="E8" s="98">
        <v>68</v>
      </c>
      <c r="F8" s="98">
        <v>46</v>
      </c>
      <c r="G8" s="98">
        <v>48</v>
      </c>
      <c r="H8" s="98">
        <v>83</v>
      </c>
      <c r="I8" s="98">
        <v>37</v>
      </c>
      <c r="J8" s="98">
        <v>46</v>
      </c>
      <c r="K8" s="98">
        <v>70</v>
      </c>
      <c r="L8" s="98">
        <v>38</v>
      </c>
      <c r="M8" s="98">
        <v>27</v>
      </c>
      <c r="O8">
        <f t="shared" si="0"/>
        <v>398</v>
      </c>
      <c r="P8">
        <v>14</v>
      </c>
      <c r="Q8" s="3"/>
    </row>
    <row r="9" spans="1:17" ht="19.5">
      <c r="A9">
        <v>7</v>
      </c>
      <c r="B9" s="11" t="s">
        <v>389</v>
      </c>
      <c r="C9" s="72" t="s">
        <v>1083</v>
      </c>
      <c r="D9" s="73">
        <v>200</v>
      </c>
      <c r="E9" s="98">
        <v>49</v>
      </c>
      <c r="F9" s="98">
        <v>56</v>
      </c>
      <c r="G9" s="98">
        <v>55</v>
      </c>
      <c r="H9" s="98">
        <v>71</v>
      </c>
      <c r="I9" s="98">
        <v>44</v>
      </c>
      <c r="J9" s="98">
        <v>53</v>
      </c>
      <c r="K9" s="98">
        <v>48</v>
      </c>
      <c r="L9" s="98">
        <v>30</v>
      </c>
      <c r="M9" s="98">
        <v>40</v>
      </c>
      <c r="O9">
        <f t="shared" si="0"/>
        <v>376</v>
      </c>
      <c r="P9">
        <v>2</v>
      </c>
      <c r="Q9" s="3"/>
    </row>
    <row r="10" spans="1:17" ht="19.5">
      <c r="A10">
        <v>8</v>
      </c>
      <c r="B10" s="11" t="s">
        <v>1106</v>
      </c>
      <c r="C10" s="72" t="s">
        <v>1107</v>
      </c>
      <c r="D10" s="73">
        <v>385</v>
      </c>
      <c r="E10" s="98">
        <v>48</v>
      </c>
      <c r="F10" s="98">
        <v>41</v>
      </c>
      <c r="G10" s="98">
        <v>59</v>
      </c>
      <c r="H10" s="98">
        <v>66</v>
      </c>
      <c r="I10" s="98">
        <v>35</v>
      </c>
      <c r="J10" s="98">
        <v>54</v>
      </c>
      <c r="K10" s="98">
        <v>63</v>
      </c>
      <c r="L10" s="98">
        <v>44</v>
      </c>
      <c r="M10" s="98">
        <v>42</v>
      </c>
      <c r="O10">
        <f t="shared" si="0"/>
        <v>366</v>
      </c>
      <c r="P10">
        <v>17</v>
      </c>
      <c r="Q10" s="3"/>
    </row>
    <row r="11" spans="1:17" ht="19.5">
      <c r="A11">
        <v>9</v>
      </c>
      <c r="B11" s="116" t="s">
        <v>1304</v>
      </c>
      <c r="C11" s="72" t="s">
        <v>1084</v>
      </c>
      <c r="D11" s="73">
        <v>214</v>
      </c>
      <c r="E11" s="98">
        <v>48</v>
      </c>
      <c r="F11" s="98">
        <v>60</v>
      </c>
      <c r="G11" s="98">
        <v>59</v>
      </c>
      <c r="H11" s="98">
        <v>63</v>
      </c>
      <c r="I11" s="98">
        <v>53</v>
      </c>
      <c r="J11" s="98">
        <v>37</v>
      </c>
      <c r="K11" s="98">
        <v>40</v>
      </c>
      <c r="L11" s="98">
        <v>45</v>
      </c>
      <c r="M11" s="98">
        <v>20</v>
      </c>
      <c r="O11">
        <f t="shared" si="0"/>
        <v>360</v>
      </c>
      <c r="P11">
        <v>3</v>
      </c>
      <c r="Q11" s="3"/>
    </row>
    <row r="12" spans="1:17" ht="19.5">
      <c r="A12">
        <v>10</v>
      </c>
      <c r="B12" s="11" t="s">
        <v>900</v>
      </c>
      <c r="C12" s="72" t="s">
        <v>1105</v>
      </c>
      <c r="D12" s="73">
        <v>355</v>
      </c>
      <c r="E12" s="98">
        <v>51</v>
      </c>
      <c r="F12" s="98">
        <v>46</v>
      </c>
      <c r="G12" s="98">
        <v>50</v>
      </c>
      <c r="H12" s="98">
        <v>62</v>
      </c>
      <c r="I12" s="98">
        <v>37</v>
      </c>
      <c r="J12" s="98">
        <v>40</v>
      </c>
      <c r="K12" s="98">
        <v>69</v>
      </c>
      <c r="L12" s="98">
        <v>30</v>
      </c>
      <c r="M12" s="98">
        <v>35</v>
      </c>
      <c r="O12">
        <f t="shared" si="0"/>
        <v>355</v>
      </c>
      <c r="P12">
        <v>16</v>
      </c>
      <c r="Q12" s="3"/>
    </row>
    <row r="13" spans="1:17" ht="19.5">
      <c r="A13">
        <v>11</v>
      </c>
      <c r="B13" s="11" t="s">
        <v>1099</v>
      </c>
      <c r="C13" s="72" t="s">
        <v>1100</v>
      </c>
      <c r="D13" s="73">
        <v>305</v>
      </c>
      <c r="E13" s="98">
        <v>51</v>
      </c>
      <c r="F13" s="98">
        <v>35</v>
      </c>
      <c r="G13" s="98">
        <v>40</v>
      </c>
      <c r="H13" s="98">
        <v>74</v>
      </c>
      <c r="I13" s="98">
        <v>42</v>
      </c>
      <c r="J13" s="98">
        <v>75</v>
      </c>
      <c r="K13" s="98">
        <v>49</v>
      </c>
      <c r="L13" s="98">
        <v>45</v>
      </c>
      <c r="M13" s="98">
        <v>15</v>
      </c>
      <c r="O13">
        <f t="shared" si="0"/>
        <v>366</v>
      </c>
      <c r="P13">
        <v>12</v>
      </c>
    </row>
    <row r="14" spans="1:17" ht="19.5">
      <c r="A14">
        <v>13</v>
      </c>
      <c r="B14" s="11" t="s">
        <v>479</v>
      </c>
      <c r="C14" s="72" t="s">
        <v>1087</v>
      </c>
      <c r="D14" s="73">
        <v>241</v>
      </c>
      <c r="E14" s="98">
        <v>46</v>
      </c>
      <c r="F14" s="98">
        <v>35</v>
      </c>
      <c r="G14" s="98">
        <v>53</v>
      </c>
      <c r="H14" s="98">
        <v>54</v>
      </c>
      <c r="I14" s="98">
        <v>37</v>
      </c>
      <c r="J14" s="98">
        <v>45</v>
      </c>
      <c r="K14" s="98">
        <v>55</v>
      </c>
      <c r="L14" s="98">
        <v>40</v>
      </c>
      <c r="M14" s="98">
        <v>48</v>
      </c>
      <c r="O14">
        <f>SUM(E14:K14)</f>
        <v>325</v>
      </c>
      <c r="P14">
        <v>5</v>
      </c>
    </row>
    <row r="15" spans="1:17" ht="19.5">
      <c r="A15">
        <v>12</v>
      </c>
      <c r="B15" s="11" t="s">
        <v>1088</v>
      </c>
      <c r="C15" s="72" t="s">
        <v>1089</v>
      </c>
      <c r="D15" s="73">
        <v>244</v>
      </c>
      <c r="E15" s="98">
        <v>47</v>
      </c>
      <c r="F15" s="98">
        <v>43</v>
      </c>
      <c r="G15" s="98">
        <v>39</v>
      </c>
      <c r="H15" s="98">
        <v>67</v>
      </c>
      <c r="I15" s="98">
        <v>26</v>
      </c>
      <c r="J15" s="98">
        <v>40</v>
      </c>
      <c r="K15" s="98">
        <v>54</v>
      </c>
      <c r="L15" s="98">
        <v>45</v>
      </c>
      <c r="M15" s="98">
        <v>27</v>
      </c>
      <c r="O15">
        <f t="shared" si="0"/>
        <v>316</v>
      </c>
      <c r="P15">
        <v>6</v>
      </c>
    </row>
    <row r="16" spans="1:17" ht="19.5">
      <c r="A16">
        <v>14</v>
      </c>
      <c r="B16" s="11" t="s">
        <v>1081</v>
      </c>
      <c r="C16" s="72" t="s">
        <v>1082</v>
      </c>
      <c r="D16" s="73">
        <v>127</v>
      </c>
      <c r="E16" s="98">
        <v>40</v>
      </c>
      <c r="F16" s="98">
        <v>46</v>
      </c>
      <c r="G16" s="98">
        <v>25</v>
      </c>
      <c r="H16" s="98">
        <v>35</v>
      </c>
      <c r="I16" s="98">
        <v>35</v>
      </c>
      <c r="J16" s="98">
        <v>39</v>
      </c>
      <c r="K16" s="98">
        <v>77</v>
      </c>
      <c r="L16" s="98">
        <v>30</v>
      </c>
      <c r="M16" s="98">
        <v>46</v>
      </c>
      <c r="O16">
        <f t="shared" si="0"/>
        <v>297</v>
      </c>
      <c r="P16">
        <v>1</v>
      </c>
    </row>
    <row r="17" spans="1:16" ht="19.5">
      <c r="A17">
        <v>15</v>
      </c>
      <c r="B17" s="11" t="s">
        <v>1085</v>
      </c>
      <c r="C17" s="72" t="s">
        <v>1086</v>
      </c>
      <c r="D17" s="73">
        <v>234</v>
      </c>
      <c r="E17" s="98">
        <v>53</v>
      </c>
      <c r="F17" s="98">
        <v>22</v>
      </c>
      <c r="G17" s="98">
        <v>53</v>
      </c>
      <c r="H17" s="98">
        <v>49</v>
      </c>
      <c r="I17" s="98">
        <v>35</v>
      </c>
      <c r="J17" s="98">
        <v>35</v>
      </c>
      <c r="K17" s="98">
        <v>57</v>
      </c>
      <c r="L17" s="98">
        <v>37</v>
      </c>
      <c r="M17" s="98">
        <v>18</v>
      </c>
      <c r="O17">
        <f t="shared" si="0"/>
        <v>304</v>
      </c>
      <c r="P17">
        <v>4</v>
      </c>
    </row>
    <row r="18" spans="1:16" ht="19.5">
      <c r="A18">
        <v>16</v>
      </c>
      <c r="B18" s="77" t="s">
        <v>776</v>
      </c>
      <c r="C18" s="78" t="s">
        <v>1111</v>
      </c>
      <c r="D18" s="74">
        <v>517</v>
      </c>
      <c r="E18" s="98">
        <v>55</v>
      </c>
      <c r="F18" s="98">
        <v>12</v>
      </c>
      <c r="G18" s="98">
        <v>49</v>
      </c>
      <c r="H18" s="98">
        <v>68</v>
      </c>
      <c r="I18" s="98">
        <v>36</v>
      </c>
      <c r="J18" s="98">
        <v>35</v>
      </c>
      <c r="K18" s="98">
        <v>44</v>
      </c>
      <c r="L18" s="98">
        <v>40</v>
      </c>
      <c r="M18" s="98">
        <v>15</v>
      </c>
      <c r="O18">
        <f t="shared" si="0"/>
        <v>299</v>
      </c>
      <c r="P18">
        <v>20</v>
      </c>
    </row>
    <row r="19" spans="1:16" ht="19.5">
      <c r="A19">
        <v>17</v>
      </c>
      <c r="B19" s="125" t="s">
        <v>1108</v>
      </c>
      <c r="C19" s="126" t="s">
        <v>1109</v>
      </c>
      <c r="D19" s="75">
        <v>386</v>
      </c>
      <c r="E19" s="98">
        <v>38</v>
      </c>
      <c r="F19" s="98">
        <v>13</v>
      </c>
      <c r="G19" s="128">
        <v>60</v>
      </c>
      <c r="H19" s="128">
        <v>43</v>
      </c>
      <c r="I19" s="128">
        <v>38</v>
      </c>
      <c r="J19" s="128">
        <v>35</v>
      </c>
      <c r="K19" s="128">
        <v>35</v>
      </c>
      <c r="L19" s="128">
        <v>30</v>
      </c>
      <c r="M19" s="128">
        <v>20</v>
      </c>
      <c r="N19" s="128"/>
      <c r="O19">
        <f t="shared" si="0"/>
        <v>262</v>
      </c>
      <c r="P19">
        <v>18</v>
      </c>
    </row>
    <row r="20" spans="1:16" ht="19.5">
      <c r="A20">
        <v>18</v>
      </c>
      <c r="B20" s="11" t="s">
        <v>1103</v>
      </c>
      <c r="C20" s="72" t="s">
        <v>1104</v>
      </c>
      <c r="D20" s="73">
        <v>352</v>
      </c>
      <c r="E20" s="98">
        <v>35</v>
      </c>
      <c r="F20" s="98">
        <v>23</v>
      </c>
      <c r="G20" s="98">
        <v>31</v>
      </c>
      <c r="H20" s="98">
        <v>35</v>
      </c>
      <c r="I20" s="98">
        <v>25</v>
      </c>
      <c r="J20" s="98">
        <v>19</v>
      </c>
      <c r="K20" s="98">
        <v>44</v>
      </c>
      <c r="L20" s="98">
        <v>33</v>
      </c>
      <c r="M20" s="98">
        <v>15</v>
      </c>
      <c r="O20">
        <f t="shared" si="0"/>
        <v>212</v>
      </c>
      <c r="P20">
        <v>15</v>
      </c>
    </row>
    <row r="21" spans="1:16" ht="19.5">
      <c r="A21">
        <v>20</v>
      </c>
      <c r="B21" s="11" t="s">
        <v>696</v>
      </c>
      <c r="C21" s="72" t="s">
        <v>1090</v>
      </c>
      <c r="D21" s="73">
        <v>252</v>
      </c>
      <c r="E21" s="98">
        <v>43</v>
      </c>
      <c r="F21" s="98">
        <v>17</v>
      </c>
      <c r="G21" s="98">
        <v>40</v>
      </c>
      <c r="H21" s="98">
        <v>51</v>
      </c>
      <c r="I21" s="98">
        <v>23</v>
      </c>
      <c r="J21" s="98">
        <v>32</v>
      </c>
      <c r="K21" s="98">
        <v>23</v>
      </c>
      <c r="L21" s="98">
        <v>44</v>
      </c>
      <c r="M21" s="98">
        <v>27</v>
      </c>
      <c r="O21">
        <f>SUM(E21:K21)</f>
        <v>229</v>
      </c>
      <c r="P21">
        <v>7</v>
      </c>
    </row>
    <row r="22" spans="1:16" ht="19.5">
      <c r="A22">
        <v>19</v>
      </c>
      <c r="B22" s="11" t="s">
        <v>939</v>
      </c>
      <c r="C22" s="72" t="s">
        <v>1110</v>
      </c>
      <c r="D22" s="73">
        <v>477</v>
      </c>
      <c r="E22" s="98">
        <v>26</v>
      </c>
      <c r="F22" s="98">
        <v>5</v>
      </c>
      <c r="G22" s="98">
        <v>19</v>
      </c>
      <c r="H22" s="98">
        <v>9</v>
      </c>
      <c r="I22" s="98">
        <v>11</v>
      </c>
      <c r="J22" s="98">
        <v>2</v>
      </c>
      <c r="K22" s="98">
        <v>38</v>
      </c>
      <c r="L22" s="98">
        <v>17</v>
      </c>
      <c r="M22" s="98">
        <v>25</v>
      </c>
      <c r="O22">
        <f t="shared" si="0"/>
        <v>110</v>
      </c>
      <c r="P22">
        <v>19</v>
      </c>
    </row>
  </sheetData>
  <sortState ref="A3:O22">
    <sortCondition descending="1" ref="O3"/>
  </sortState>
  <conditionalFormatting sqref="E3:K22">
    <cfRule type="cellIs" dxfId="19" priority="1" operator="lessThan">
      <formula>35</formula>
    </cfRule>
  </conditionalFormatting>
  <pageMargins left="0.7" right="0.7" top="0.75" bottom="0.75" header="0.3" footer="0.3"/>
  <ignoredErrors>
    <ignoredError sqref="D1 A1:C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selection activeCell="H9" sqref="H9"/>
    </sheetView>
  </sheetViews>
  <sheetFormatPr defaultRowHeight="15.75"/>
  <cols>
    <col min="5" max="13" width="9" style="98"/>
  </cols>
  <sheetData>
    <row r="1" spans="1:16" ht="123" customHeight="1">
      <c r="A1" t="s">
        <v>0</v>
      </c>
      <c r="B1" t="s">
        <v>1</v>
      </c>
      <c r="C1" t="s">
        <v>2</v>
      </c>
      <c r="D1" t="s">
        <v>3</v>
      </c>
      <c r="E1" s="121" t="s">
        <v>124</v>
      </c>
      <c r="F1" s="121" t="s">
        <v>137</v>
      </c>
      <c r="G1" s="121" t="s">
        <v>114</v>
      </c>
      <c r="H1" s="121" t="s">
        <v>172</v>
      </c>
      <c r="I1" s="121" t="s">
        <v>315</v>
      </c>
      <c r="J1" s="121" t="s">
        <v>85</v>
      </c>
      <c r="K1" s="121" t="s">
        <v>138</v>
      </c>
      <c r="L1" s="121" t="s">
        <v>1288</v>
      </c>
      <c r="M1" s="121" t="s">
        <v>1289</v>
      </c>
    </row>
    <row r="2" spans="1:16" s="4" customFormat="1" ht="30" hidden="1" customHeight="1">
      <c r="E2" s="122" t="s">
        <v>244</v>
      </c>
      <c r="F2" s="122" t="s">
        <v>245</v>
      </c>
      <c r="G2" s="122" t="s">
        <v>246</v>
      </c>
      <c r="H2" s="122" t="s">
        <v>247</v>
      </c>
      <c r="I2" s="122" t="s">
        <v>248</v>
      </c>
      <c r="J2" s="122" t="s">
        <v>249</v>
      </c>
      <c r="K2" s="122" t="s">
        <v>250</v>
      </c>
      <c r="L2" s="122" t="s">
        <v>251</v>
      </c>
      <c r="M2" s="122" t="s">
        <v>252</v>
      </c>
    </row>
    <row r="3" spans="1:16" ht="20.25">
      <c r="A3">
        <v>1</v>
      </c>
      <c r="B3" s="11" t="s">
        <v>1297</v>
      </c>
      <c r="C3" s="115" t="s">
        <v>1307</v>
      </c>
      <c r="D3" s="113">
        <v>229</v>
      </c>
      <c r="E3" s="98">
        <v>90</v>
      </c>
      <c r="F3" s="98">
        <v>94</v>
      </c>
      <c r="G3" s="98">
        <v>91</v>
      </c>
      <c r="H3" s="98">
        <v>94</v>
      </c>
      <c r="I3" s="98">
        <v>96</v>
      </c>
      <c r="J3" s="98">
        <v>90</v>
      </c>
      <c r="K3" s="98">
        <v>87</v>
      </c>
      <c r="L3" s="98">
        <v>40</v>
      </c>
      <c r="M3" s="98">
        <v>30</v>
      </c>
      <c r="O3" s="3"/>
      <c r="P3" s="3"/>
    </row>
    <row r="4" spans="1:16">
      <c r="O4" s="3"/>
      <c r="P4" s="3"/>
    </row>
    <row r="5" spans="1:16">
      <c r="O5" s="3"/>
      <c r="P5" s="3"/>
    </row>
    <row r="6" spans="1:16">
      <c r="O6" s="3"/>
      <c r="P6" s="3"/>
    </row>
    <row r="7" spans="1:16">
      <c r="O7" s="3"/>
      <c r="P7" s="3"/>
    </row>
    <row r="8" spans="1:16">
      <c r="O8" s="3"/>
      <c r="P8" s="3"/>
    </row>
    <row r="9" spans="1:16">
      <c r="O9" s="3"/>
      <c r="P9" s="3"/>
    </row>
    <row r="10" spans="1:16">
      <c r="O10" s="3"/>
      <c r="P10" s="3"/>
    </row>
    <row r="11" spans="1:16">
      <c r="O11" s="3"/>
      <c r="P11" s="3"/>
    </row>
  </sheetData>
  <pageMargins left="0.7" right="0.7" top="0.75" bottom="0.75" header="0.3" footer="0.3"/>
  <ignoredErrors>
    <ignoredError sqref="D1 A1:C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3"/>
  <sheetViews>
    <sheetView workbookViewId="0">
      <selection activeCell="L7" sqref="L7"/>
    </sheetView>
  </sheetViews>
  <sheetFormatPr defaultRowHeight="15.75"/>
  <cols>
    <col min="5" max="16" width="9" style="98"/>
  </cols>
  <sheetData>
    <row r="1" spans="1:18" ht="132" customHeight="1">
      <c r="A1" t="s">
        <v>0</v>
      </c>
      <c r="B1" t="s">
        <v>1</v>
      </c>
      <c r="C1" t="s">
        <v>2</v>
      </c>
      <c r="D1" t="s">
        <v>3</v>
      </c>
      <c r="E1" s="121" t="s">
        <v>92</v>
      </c>
      <c r="F1" s="121" t="s">
        <v>131</v>
      </c>
      <c r="G1" s="121" t="s">
        <v>172</v>
      </c>
      <c r="H1" s="121" t="s">
        <v>125</v>
      </c>
      <c r="I1" s="121" t="s">
        <v>220</v>
      </c>
      <c r="J1" s="121" t="s">
        <v>140</v>
      </c>
      <c r="K1" s="121" t="s">
        <v>141</v>
      </c>
      <c r="L1" s="121" t="s">
        <v>142</v>
      </c>
      <c r="M1" s="121" t="s">
        <v>1317</v>
      </c>
      <c r="N1" s="121" t="s">
        <v>1318</v>
      </c>
      <c r="O1" s="121" t="s">
        <v>1282</v>
      </c>
      <c r="Q1" t="s">
        <v>0</v>
      </c>
    </row>
    <row r="2" spans="1:18" s="4" customFormat="1" ht="28.5" hidden="1" customHeight="1">
      <c r="E2" s="122" t="s">
        <v>253</v>
      </c>
      <c r="F2" s="122" t="s">
        <v>254</v>
      </c>
      <c r="G2" s="122" t="s">
        <v>255</v>
      </c>
      <c r="H2" s="122" t="s">
        <v>256</v>
      </c>
      <c r="I2" s="122" t="s">
        <v>257</v>
      </c>
      <c r="J2" s="122" t="s">
        <v>258</v>
      </c>
      <c r="K2" s="122" t="s">
        <v>259</v>
      </c>
      <c r="L2" s="122" t="s">
        <v>260</v>
      </c>
      <c r="M2" s="122" t="s">
        <v>261</v>
      </c>
      <c r="N2" s="122" t="s">
        <v>262</v>
      </c>
      <c r="O2" s="122"/>
      <c r="P2" s="122"/>
    </row>
    <row r="3" spans="1:18" ht="20.25">
      <c r="A3" s="8">
        <v>1</v>
      </c>
      <c r="B3" s="11" t="s">
        <v>1067</v>
      </c>
      <c r="C3" s="78" t="s">
        <v>1068</v>
      </c>
      <c r="D3" s="113">
        <v>378</v>
      </c>
      <c r="E3" s="98">
        <v>65</v>
      </c>
      <c r="F3" s="98">
        <v>90</v>
      </c>
      <c r="G3" s="98">
        <v>95</v>
      </c>
      <c r="H3" s="98">
        <v>93</v>
      </c>
      <c r="I3" s="98">
        <v>89</v>
      </c>
      <c r="J3" s="98">
        <v>90</v>
      </c>
      <c r="K3" s="98">
        <v>94</v>
      </c>
      <c r="L3" s="98">
        <v>79</v>
      </c>
      <c r="M3" s="98">
        <v>48</v>
      </c>
      <c r="N3" s="98">
        <v>30</v>
      </c>
      <c r="P3" s="98">
        <f t="shared" ref="P3:P11" si="0">SUM(E3:L3)</f>
        <v>695</v>
      </c>
      <c r="Q3">
        <v>3</v>
      </c>
    </row>
    <row r="4" spans="1:18" ht="20.25">
      <c r="A4" s="8">
        <v>2</v>
      </c>
      <c r="B4" s="11" t="s">
        <v>1075</v>
      </c>
      <c r="C4" s="72" t="s">
        <v>1076</v>
      </c>
      <c r="D4" s="113">
        <v>417</v>
      </c>
      <c r="E4" s="98">
        <v>40</v>
      </c>
      <c r="F4" s="98">
        <v>65</v>
      </c>
      <c r="G4" s="98">
        <v>99</v>
      </c>
      <c r="H4" s="98">
        <v>45</v>
      </c>
      <c r="I4" s="98">
        <v>66</v>
      </c>
      <c r="J4" s="98">
        <v>71</v>
      </c>
      <c r="K4" s="98">
        <v>60</v>
      </c>
      <c r="L4" s="98">
        <v>74</v>
      </c>
      <c r="M4" s="98">
        <v>48</v>
      </c>
      <c r="N4" s="98">
        <v>45</v>
      </c>
      <c r="P4" s="98">
        <f t="shared" si="0"/>
        <v>520</v>
      </c>
      <c r="Q4">
        <v>6</v>
      </c>
      <c r="R4" s="3"/>
    </row>
    <row r="5" spans="1:18" ht="20.25">
      <c r="A5" s="8">
        <v>3</v>
      </c>
      <c r="B5" s="77" t="s">
        <v>1079</v>
      </c>
      <c r="C5" s="78" t="s">
        <v>1080</v>
      </c>
      <c r="D5" s="114">
        <v>496</v>
      </c>
      <c r="E5" s="98">
        <v>35</v>
      </c>
      <c r="F5" s="98">
        <v>46</v>
      </c>
      <c r="G5" s="98">
        <v>80</v>
      </c>
      <c r="H5" s="98">
        <v>35</v>
      </c>
      <c r="I5" s="98">
        <v>38</v>
      </c>
      <c r="J5" s="98">
        <v>35</v>
      </c>
      <c r="K5" s="98">
        <v>70</v>
      </c>
      <c r="L5" s="98">
        <v>37</v>
      </c>
      <c r="M5" s="98">
        <v>48</v>
      </c>
      <c r="N5" s="98">
        <v>35</v>
      </c>
      <c r="P5" s="98">
        <f>SUM(E5:L5)</f>
        <v>376</v>
      </c>
      <c r="Q5">
        <v>8</v>
      </c>
      <c r="R5" s="3"/>
    </row>
    <row r="6" spans="1:18" ht="20.25">
      <c r="A6" s="8">
        <v>4</v>
      </c>
      <c r="B6" s="11" t="s">
        <v>1065</v>
      </c>
      <c r="C6" s="72" t="s">
        <v>1066</v>
      </c>
      <c r="D6" s="113">
        <v>222</v>
      </c>
      <c r="E6" s="98">
        <v>25</v>
      </c>
      <c r="F6" s="98">
        <v>60</v>
      </c>
      <c r="G6" s="98">
        <v>94</v>
      </c>
      <c r="H6" s="98">
        <v>70</v>
      </c>
      <c r="I6" s="98">
        <v>66</v>
      </c>
      <c r="J6" s="98">
        <v>55</v>
      </c>
      <c r="K6" s="98">
        <v>92</v>
      </c>
      <c r="L6" s="98">
        <v>74</v>
      </c>
      <c r="M6" s="98">
        <v>48</v>
      </c>
      <c r="N6" s="98">
        <v>30</v>
      </c>
      <c r="P6" s="98">
        <f t="shared" si="0"/>
        <v>536</v>
      </c>
      <c r="Q6">
        <v>2</v>
      </c>
    </row>
    <row r="7" spans="1:18" ht="20.25">
      <c r="A7" s="8">
        <v>5</v>
      </c>
      <c r="B7" s="11" t="s">
        <v>1063</v>
      </c>
      <c r="C7" s="72" t="s">
        <v>1064</v>
      </c>
      <c r="D7" s="113">
        <v>76</v>
      </c>
      <c r="E7" s="98">
        <v>10</v>
      </c>
      <c r="F7" s="98">
        <v>62</v>
      </c>
      <c r="G7" s="98">
        <v>89</v>
      </c>
      <c r="H7" s="98">
        <v>48</v>
      </c>
      <c r="I7" s="98">
        <v>56</v>
      </c>
      <c r="J7" s="98">
        <v>39</v>
      </c>
      <c r="K7" s="98">
        <v>60</v>
      </c>
      <c r="L7" s="98">
        <v>42</v>
      </c>
      <c r="M7" s="98">
        <v>48</v>
      </c>
      <c r="N7" s="98">
        <v>34</v>
      </c>
      <c r="P7" s="98">
        <f t="shared" si="0"/>
        <v>406</v>
      </c>
      <c r="Q7">
        <v>1</v>
      </c>
      <c r="R7" s="3"/>
    </row>
    <row r="8" spans="1:18" ht="20.25">
      <c r="A8" s="8">
        <v>6</v>
      </c>
      <c r="B8" s="11" t="s">
        <v>1077</v>
      </c>
      <c r="C8" s="72" t="s">
        <v>1078</v>
      </c>
      <c r="D8" s="113">
        <v>478</v>
      </c>
      <c r="E8" s="98">
        <v>10</v>
      </c>
      <c r="F8" s="98">
        <v>60</v>
      </c>
      <c r="G8" s="98">
        <v>68</v>
      </c>
      <c r="H8" s="98">
        <v>36</v>
      </c>
      <c r="I8" s="98">
        <v>44</v>
      </c>
      <c r="J8" s="98">
        <v>39</v>
      </c>
      <c r="K8" s="98">
        <v>77</v>
      </c>
      <c r="L8" s="98">
        <v>39</v>
      </c>
      <c r="M8" s="98">
        <v>40</v>
      </c>
      <c r="N8" s="98">
        <v>22</v>
      </c>
      <c r="P8" s="98">
        <f t="shared" si="0"/>
        <v>373</v>
      </c>
      <c r="Q8">
        <v>7</v>
      </c>
      <c r="R8" s="3"/>
    </row>
    <row r="9" spans="1:18" ht="20.25">
      <c r="A9" s="8">
        <v>7</v>
      </c>
      <c r="B9" s="11" t="s">
        <v>1073</v>
      </c>
      <c r="C9" s="72" t="s">
        <v>1074</v>
      </c>
      <c r="D9" s="113">
        <v>408</v>
      </c>
      <c r="E9" s="98">
        <v>20</v>
      </c>
      <c r="F9" s="98">
        <v>44</v>
      </c>
      <c r="G9" s="98">
        <v>35</v>
      </c>
      <c r="H9" s="98">
        <v>35</v>
      </c>
      <c r="I9" s="98">
        <v>40</v>
      </c>
      <c r="J9" s="98">
        <v>43</v>
      </c>
      <c r="K9" s="98">
        <v>51</v>
      </c>
      <c r="L9" s="98">
        <v>35</v>
      </c>
      <c r="M9" s="98">
        <v>48</v>
      </c>
      <c r="N9" s="98">
        <v>42</v>
      </c>
      <c r="P9" s="98">
        <f t="shared" si="0"/>
        <v>303</v>
      </c>
      <c r="Q9">
        <v>5</v>
      </c>
      <c r="R9" s="3"/>
    </row>
    <row r="10" spans="1:18" ht="20.25">
      <c r="A10" s="8">
        <v>8</v>
      </c>
      <c r="B10" s="11" t="s">
        <v>1071</v>
      </c>
      <c r="C10" s="72" t="s">
        <v>1072</v>
      </c>
      <c r="D10" s="113">
        <v>392</v>
      </c>
      <c r="E10" s="98">
        <v>15</v>
      </c>
      <c r="F10" s="98">
        <v>36</v>
      </c>
      <c r="G10" s="98">
        <v>41</v>
      </c>
      <c r="H10" s="98">
        <v>20</v>
      </c>
      <c r="I10" s="98">
        <v>35</v>
      </c>
      <c r="J10" s="98">
        <v>35</v>
      </c>
      <c r="K10" s="98">
        <v>44</v>
      </c>
      <c r="L10" s="98">
        <v>22</v>
      </c>
      <c r="M10" s="98">
        <v>35</v>
      </c>
      <c r="N10" s="98">
        <v>37</v>
      </c>
      <c r="P10" s="98">
        <f t="shared" si="0"/>
        <v>248</v>
      </c>
      <c r="Q10">
        <v>4</v>
      </c>
      <c r="R10" s="3"/>
    </row>
    <row r="11" spans="1:18" ht="20.25">
      <c r="A11" s="8">
        <v>9</v>
      </c>
      <c r="B11" s="125" t="s">
        <v>1069</v>
      </c>
      <c r="C11" s="126" t="s">
        <v>1070</v>
      </c>
      <c r="D11" s="127">
        <v>389</v>
      </c>
      <c r="E11" s="98">
        <v>30</v>
      </c>
      <c r="F11" s="98">
        <v>20</v>
      </c>
      <c r="G11" s="98">
        <v>42</v>
      </c>
      <c r="H11" s="98">
        <v>25</v>
      </c>
      <c r="I11" s="98">
        <v>35</v>
      </c>
      <c r="J11" s="98">
        <v>10</v>
      </c>
      <c r="K11" s="98">
        <v>5</v>
      </c>
      <c r="L11" s="98">
        <v>40</v>
      </c>
      <c r="M11" s="98">
        <v>42</v>
      </c>
      <c r="N11" s="98">
        <v>28</v>
      </c>
      <c r="O11" s="98" t="s">
        <v>1253</v>
      </c>
      <c r="P11" s="98">
        <f t="shared" si="0"/>
        <v>207</v>
      </c>
      <c r="Q11">
        <v>9</v>
      </c>
      <c r="R11" s="3"/>
    </row>
    <row r="12" spans="1:18">
      <c r="R12" s="3"/>
    </row>
    <row r="13" spans="1:18">
      <c r="R13" s="3"/>
    </row>
  </sheetData>
  <sortState ref="A3:P11">
    <sortCondition descending="1" ref="P3"/>
  </sortState>
  <conditionalFormatting sqref="E3:L11">
    <cfRule type="cellIs" dxfId="18" priority="1" operator="lessThan">
      <formula>35</formula>
    </cfRule>
  </conditionalFormatting>
  <pageMargins left="0.7" right="0.7" top="0.75" bottom="0.75" header="0.3" footer="0.3"/>
  <ignoredErrors>
    <ignoredError sqref="D1 A1:C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62"/>
  <sheetViews>
    <sheetView topLeftCell="A4" workbookViewId="0">
      <selection activeCell="A5" sqref="A5"/>
    </sheetView>
  </sheetViews>
  <sheetFormatPr defaultRowHeight="15.75"/>
  <cols>
    <col min="3" max="3" width="17.875" customWidth="1"/>
    <col min="5" max="15" width="9" style="98"/>
  </cols>
  <sheetData>
    <row r="1" spans="1:17" ht="145.5">
      <c r="A1" t="s">
        <v>0</v>
      </c>
      <c r="B1" t="s">
        <v>1</v>
      </c>
      <c r="C1" t="s">
        <v>2</v>
      </c>
      <c r="D1" t="s">
        <v>3</v>
      </c>
      <c r="E1" s="121" t="s">
        <v>128</v>
      </c>
      <c r="F1" s="121" t="s">
        <v>121</v>
      </c>
      <c r="G1" s="121" t="s">
        <v>109</v>
      </c>
      <c r="H1" s="121" t="s">
        <v>172</v>
      </c>
      <c r="I1" s="121" t="s">
        <v>143</v>
      </c>
      <c r="J1" s="121" t="s">
        <v>100</v>
      </c>
      <c r="K1" s="121" t="s">
        <v>132</v>
      </c>
      <c r="L1" s="121" t="s">
        <v>1288</v>
      </c>
      <c r="M1" s="121" t="s">
        <v>1289</v>
      </c>
      <c r="N1" s="121"/>
      <c r="P1" t="s">
        <v>0</v>
      </c>
    </row>
    <row r="2" spans="1:17" s="4" customFormat="1" hidden="1">
      <c r="E2" s="122" t="s">
        <v>263</v>
      </c>
      <c r="F2" s="122" t="s">
        <v>264</v>
      </c>
      <c r="G2" s="122" t="s">
        <v>265</v>
      </c>
      <c r="H2" s="122" t="s">
        <v>266</v>
      </c>
      <c r="I2" s="122" t="s">
        <v>267</v>
      </c>
      <c r="J2" s="122" t="s">
        <v>268</v>
      </c>
      <c r="K2" s="122" t="s">
        <v>269</v>
      </c>
      <c r="L2" s="122" t="s">
        <v>270</v>
      </c>
      <c r="M2" s="122" t="s">
        <v>271</v>
      </c>
      <c r="N2" s="122"/>
      <c r="O2" s="122"/>
    </row>
    <row r="3" spans="1:17" ht="20.25">
      <c r="A3" s="172">
        <v>1</v>
      </c>
      <c r="B3" s="11" t="s">
        <v>1043</v>
      </c>
      <c r="C3" s="72" t="s">
        <v>1252</v>
      </c>
      <c r="D3" s="113">
        <v>311</v>
      </c>
      <c r="E3" s="112">
        <v>98</v>
      </c>
      <c r="F3" s="112">
        <v>96</v>
      </c>
      <c r="G3" s="112">
        <v>94</v>
      </c>
      <c r="H3" s="112">
        <v>89</v>
      </c>
      <c r="I3" s="112">
        <v>100</v>
      </c>
      <c r="J3" s="112">
        <v>97</v>
      </c>
      <c r="K3" s="112">
        <v>96</v>
      </c>
      <c r="L3" s="112">
        <v>48</v>
      </c>
      <c r="M3" s="112">
        <v>42</v>
      </c>
      <c r="N3" s="112"/>
      <c r="O3" s="112">
        <f t="shared" ref="O3:O25" si="0">SUM(E3:K3)</f>
        <v>670</v>
      </c>
      <c r="P3" s="111">
        <v>12</v>
      </c>
    </row>
    <row r="4" spans="1:17" ht="20.25">
      <c r="A4" s="172">
        <v>2</v>
      </c>
      <c r="B4" s="11" t="s">
        <v>1031</v>
      </c>
      <c r="C4" s="72" t="s">
        <v>1315</v>
      </c>
      <c r="D4" s="113">
        <v>221</v>
      </c>
      <c r="E4" s="112">
        <v>94</v>
      </c>
      <c r="F4" s="112">
        <v>95</v>
      </c>
      <c r="G4" s="112">
        <v>86</v>
      </c>
      <c r="H4" s="112">
        <v>89</v>
      </c>
      <c r="I4" s="112">
        <v>89</v>
      </c>
      <c r="J4" s="112">
        <v>98</v>
      </c>
      <c r="K4" s="112">
        <v>96</v>
      </c>
      <c r="L4" s="112">
        <v>48</v>
      </c>
      <c r="M4" s="112">
        <v>35</v>
      </c>
      <c r="N4" s="112"/>
      <c r="O4" s="112">
        <f>SUM(E4:K4)</f>
        <v>647</v>
      </c>
      <c r="P4" s="111">
        <v>4</v>
      </c>
      <c r="Q4" s="3"/>
    </row>
    <row r="5" spans="1:17" ht="20.25">
      <c r="A5" s="172">
        <v>3</v>
      </c>
      <c r="B5" s="11" t="s">
        <v>1029</v>
      </c>
      <c r="C5" s="72" t="s">
        <v>1251</v>
      </c>
      <c r="D5" s="113">
        <v>140</v>
      </c>
      <c r="E5" s="112">
        <v>96</v>
      </c>
      <c r="F5" s="112">
        <v>91</v>
      </c>
      <c r="G5" s="112">
        <v>82</v>
      </c>
      <c r="H5" s="112">
        <v>83</v>
      </c>
      <c r="I5" s="112">
        <v>98</v>
      </c>
      <c r="J5" s="112">
        <v>96</v>
      </c>
      <c r="K5" s="112">
        <v>91</v>
      </c>
      <c r="L5" s="112">
        <v>48</v>
      </c>
      <c r="M5" s="112">
        <v>30</v>
      </c>
      <c r="N5" s="112"/>
      <c r="O5" s="112">
        <f t="shared" si="0"/>
        <v>637</v>
      </c>
      <c r="P5" s="111">
        <v>2</v>
      </c>
    </row>
    <row r="6" spans="1:17" ht="20.25">
      <c r="A6" s="172">
        <v>4</v>
      </c>
      <c r="B6" s="11" t="s">
        <v>796</v>
      </c>
      <c r="C6" s="72" t="s">
        <v>1044</v>
      </c>
      <c r="D6" s="113">
        <v>333</v>
      </c>
      <c r="E6" s="112">
        <v>95</v>
      </c>
      <c r="F6" s="112">
        <v>97</v>
      </c>
      <c r="G6" s="112">
        <v>86</v>
      </c>
      <c r="H6" s="112">
        <v>83</v>
      </c>
      <c r="I6" s="112">
        <v>83</v>
      </c>
      <c r="J6" s="112">
        <v>86</v>
      </c>
      <c r="K6" s="112">
        <v>88</v>
      </c>
      <c r="L6" s="112">
        <v>48</v>
      </c>
      <c r="M6" s="112">
        <v>38</v>
      </c>
      <c r="N6" s="112"/>
      <c r="O6" s="112">
        <f t="shared" si="0"/>
        <v>618</v>
      </c>
      <c r="P6" s="111">
        <v>13</v>
      </c>
      <c r="Q6" s="3"/>
    </row>
    <row r="7" spans="1:17" ht="20.25">
      <c r="A7" s="172">
        <v>5</v>
      </c>
      <c r="B7" s="11" t="s">
        <v>1049</v>
      </c>
      <c r="C7" s="72" t="s">
        <v>1050</v>
      </c>
      <c r="D7" s="113">
        <v>344</v>
      </c>
      <c r="E7" s="112">
        <v>75</v>
      </c>
      <c r="F7" s="112">
        <v>91</v>
      </c>
      <c r="G7" s="112">
        <v>84</v>
      </c>
      <c r="H7" s="112">
        <v>85</v>
      </c>
      <c r="I7" s="112">
        <v>91</v>
      </c>
      <c r="J7" s="112">
        <v>98</v>
      </c>
      <c r="K7" s="112">
        <v>90</v>
      </c>
      <c r="L7" s="112">
        <v>48</v>
      </c>
      <c r="M7" s="112">
        <v>42</v>
      </c>
      <c r="N7" s="112"/>
      <c r="O7" s="112">
        <f t="shared" si="0"/>
        <v>614</v>
      </c>
      <c r="P7" s="111">
        <v>16</v>
      </c>
      <c r="Q7" s="3"/>
    </row>
    <row r="8" spans="1:17" ht="20.25">
      <c r="A8" s="172">
        <v>6</v>
      </c>
      <c r="B8" s="11" t="s">
        <v>1047</v>
      </c>
      <c r="C8" s="72" t="s">
        <v>1048</v>
      </c>
      <c r="D8" s="113">
        <v>335</v>
      </c>
      <c r="E8" s="112">
        <v>80</v>
      </c>
      <c r="F8" s="112">
        <v>89</v>
      </c>
      <c r="G8" s="112">
        <v>82</v>
      </c>
      <c r="H8" s="112">
        <v>90</v>
      </c>
      <c r="I8" s="112">
        <v>99</v>
      </c>
      <c r="J8" s="112">
        <v>96</v>
      </c>
      <c r="K8" s="112">
        <v>77</v>
      </c>
      <c r="L8" s="112">
        <v>45</v>
      </c>
      <c r="M8" s="112">
        <v>35</v>
      </c>
      <c r="N8" s="112"/>
      <c r="O8" s="112">
        <f t="shared" si="0"/>
        <v>613</v>
      </c>
      <c r="P8" s="111">
        <v>15</v>
      </c>
      <c r="Q8" s="3"/>
    </row>
    <row r="9" spans="1:17" ht="20.25">
      <c r="A9" s="172">
        <v>7</v>
      </c>
      <c r="B9" s="11" t="s">
        <v>843</v>
      </c>
      <c r="C9" s="72" t="s">
        <v>979</v>
      </c>
      <c r="D9" s="113">
        <v>282</v>
      </c>
      <c r="E9" s="112">
        <v>81</v>
      </c>
      <c r="F9" s="112">
        <v>93</v>
      </c>
      <c r="G9" s="112">
        <v>88</v>
      </c>
      <c r="H9" s="112">
        <v>85</v>
      </c>
      <c r="I9" s="112">
        <v>86</v>
      </c>
      <c r="J9" s="112">
        <v>98</v>
      </c>
      <c r="K9" s="112">
        <v>79</v>
      </c>
      <c r="L9" s="112">
        <v>48</v>
      </c>
      <c r="M9" s="112">
        <v>44</v>
      </c>
      <c r="N9" s="112"/>
      <c r="O9" s="112">
        <f t="shared" si="0"/>
        <v>610</v>
      </c>
      <c r="P9" s="111">
        <v>9</v>
      </c>
      <c r="Q9" s="3"/>
    </row>
    <row r="10" spans="1:17" ht="20.25">
      <c r="A10" s="172">
        <v>8</v>
      </c>
      <c r="B10" s="11" t="s">
        <v>1045</v>
      </c>
      <c r="C10" s="72" t="s">
        <v>1046</v>
      </c>
      <c r="D10" s="113">
        <v>334</v>
      </c>
      <c r="E10" s="112">
        <v>90</v>
      </c>
      <c r="F10" s="112">
        <v>78</v>
      </c>
      <c r="G10" s="112">
        <v>82</v>
      </c>
      <c r="H10" s="112">
        <v>88</v>
      </c>
      <c r="I10" s="112">
        <v>82</v>
      </c>
      <c r="J10" s="112">
        <v>97</v>
      </c>
      <c r="K10" s="112">
        <v>92</v>
      </c>
      <c r="L10" s="112">
        <v>48</v>
      </c>
      <c r="M10" s="112">
        <v>45</v>
      </c>
      <c r="N10" s="112"/>
      <c r="O10" s="112">
        <f t="shared" si="0"/>
        <v>609</v>
      </c>
      <c r="P10" s="111">
        <v>14</v>
      </c>
      <c r="Q10" s="3"/>
    </row>
    <row r="11" spans="1:17" ht="20.25">
      <c r="A11" s="172">
        <v>9</v>
      </c>
      <c r="B11" s="11" t="s">
        <v>776</v>
      </c>
      <c r="C11" s="72" t="s">
        <v>1051</v>
      </c>
      <c r="D11" s="113">
        <v>346</v>
      </c>
      <c r="E11" s="112">
        <v>80</v>
      </c>
      <c r="F11" s="112">
        <v>89</v>
      </c>
      <c r="G11" s="112">
        <v>76</v>
      </c>
      <c r="H11" s="112">
        <v>79</v>
      </c>
      <c r="I11" s="112">
        <v>79</v>
      </c>
      <c r="J11" s="112">
        <v>92</v>
      </c>
      <c r="K11" s="112">
        <v>79</v>
      </c>
      <c r="L11" s="112">
        <v>48</v>
      </c>
      <c r="M11" s="112">
        <v>38</v>
      </c>
      <c r="N11" s="112"/>
      <c r="O11" s="112">
        <f t="shared" si="0"/>
        <v>574</v>
      </c>
      <c r="P11" s="111">
        <v>17</v>
      </c>
      <c r="Q11" s="3"/>
    </row>
    <row r="12" spans="1:17" ht="20.25">
      <c r="A12" s="172">
        <v>10</v>
      </c>
      <c r="B12" s="11" t="s">
        <v>1041</v>
      </c>
      <c r="C12" s="72" t="s">
        <v>1042</v>
      </c>
      <c r="D12" s="113">
        <v>290</v>
      </c>
      <c r="E12" s="112">
        <v>71</v>
      </c>
      <c r="F12" s="112">
        <v>80</v>
      </c>
      <c r="G12" s="112">
        <v>84</v>
      </c>
      <c r="H12" s="112">
        <v>83</v>
      </c>
      <c r="I12" s="112">
        <v>89</v>
      </c>
      <c r="J12" s="112">
        <v>93</v>
      </c>
      <c r="K12" s="112">
        <v>67</v>
      </c>
      <c r="L12" s="112">
        <v>48</v>
      </c>
      <c r="M12" s="112">
        <v>32</v>
      </c>
      <c r="N12" s="112"/>
      <c r="O12" s="112">
        <f t="shared" si="0"/>
        <v>567</v>
      </c>
      <c r="P12" s="111">
        <v>11</v>
      </c>
      <c r="Q12" s="3"/>
    </row>
    <row r="13" spans="1:17" ht="20.25">
      <c r="A13" s="172">
        <v>11</v>
      </c>
      <c r="B13" s="11" t="s">
        <v>1039</v>
      </c>
      <c r="C13" s="72" t="s">
        <v>1040</v>
      </c>
      <c r="D13" s="113">
        <v>285</v>
      </c>
      <c r="E13" s="112">
        <v>60</v>
      </c>
      <c r="F13" s="112">
        <v>78</v>
      </c>
      <c r="G13" s="112">
        <v>65</v>
      </c>
      <c r="H13" s="112">
        <v>66</v>
      </c>
      <c r="I13" s="112">
        <v>51</v>
      </c>
      <c r="J13" s="112">
        <v>62</v>
      </c>
      <c r="K13" s="112">
        <v>35</v>
      </c>
      <c r="L13" s="112">
        <v>32</v>
      </c>
      <c r="M13" s="112">
        <v>35</v>
      </c>
      <c r="N13" s="112"/>
      <c r="O13" s="112">
        <f>SUM(E13:K13)</f>
        <v>417</v>
      </c>
      <c r="P13" s="111">
        <v>10</v>
      </c>
      <c r="Q13" s="3"/>
    </row>
    <row r="14" spans="1:17" ht="20.25">
      <c r="A14" s="172">
        <v>12</v>
      </c>
      <c r="B14" s="11" t="s">
        <v>1037</v>
      </c>
      <c r="C14" s="72" t="s">
        <v>1038</v>
      </c>
      <c r="D14" s="113">
        <v>263</v>
      </c>
      <c r="E14" s="112">
        <v>75</v>
      </c>
      <c r="F14" s="112">
        <v>77</v>
      </c>
      <c r="G14" s="112">
        <v>52</v>
      </c>
      <c r="H14" s="112">
        <v>60</v>
      </c>
      <c r="I14" s="112">
        <v>72</v>
      </c>
      <c r="J14" s="112">
        <v>35</v>
      </c>
      <c r="K14" s="112">
        <v>40</v>
      </c>
      <c r="L14" s="112">
        <v>25</v>
      </c>
      <c r="M14" s="112">
        <v>38</v>
      </c>
      <c r="N14" s="112"/>
      <c r="O14" s="112">
        <f t="shared" si="0"/>
        <v>411</v>
      </c>
      <c r="P14" s="111">
        <v>8</v>
      </c>
    </row>
    <row r="15" spans="1:17" ht="20.25">
      <c r="A15" s="172">
        <v>13</v>
      </c>
      <c r="B15" s="11" t="s">
        <v>939</v>
      </c>
      <c r="C15" s="72" t="s">
        <v>1030</v>
      </c>
      <c r="D15" s="113">
        <v>217</v>
      </c>
      <c r="E15" s="112">
        <v>40</v>
      </c>
      <c r="F15" s="112">
        <v>55</v>
      </c>
      <c r="G15" s="112">
        <v>37</v>
      </c>
      <c r="H15" s="112">
        <v>40</v>
      </c>
      <c r="I15" s="112">
        <v>57</v>
      </c>
      <c r="J15" s="112">
        <v>43</v>
      </c>
      <c r="K15" s="112">
        <v>39</v>
      </c>
      <c r="L15" s="112">
        <v>35</v>
      </c>
      <c r="M15" s="112">
        <v>32</v>
      </c>
      <c r="N15" s="112"/>
      <c r="O15" s="112">
        <f t="shared" si="0"/>
        <v>311</v>
      </c>
      <c r="P15" s="111">
        <v>3</v>
      </c>
    </row>
    <row r="16" spans="1:17" ht="20.25">
      <c r="A16" s="172">
        <v>14</v>
      </c>
      <c r="B16" s="11" t="s">
        <v>1056</v>
      </c>
      <c r="C16" s="72" t="s">
        <v>1057</v>
      </c>
      <c r="D16" s="113">
        <v>439</v>
      </c>
      <c r="E16" s="112">
        <v>65</v>
      </c>
      <c r="F16" s="112">
        <v>52</v>
      </c>
      <c r="G16" s="112">
        <v>43</v>
      </c>
      <c r="H16" s="112">
        <v>64</v>
      </c>
      <c r="I16" s="112">
        <v>68</v>
      </c>
      <c r="J16" s="112">
        <v>71</v>
      </c>
      <c r="K16" s="112">
        <v>25</v>
      </c>
      <c r="L16" s="112">
        <v>35</v>
      </c>
      <c r="M16" s="112">
        <v>20</v>
      </c>
      <c r="N16" s="112"/>
      <c r="O16" s="112">
        <f t="shared" si="0"/>
        <v>388</v>
      </c>
      <c r="P16" s="111">
        <v>20</v>
      </c>
    </row>
    <row r="17" spans="1:16" ht="20.25">
      <c r="A17" s="172">
        <v>15</v>
      </c>
      <c r="B17" s="11" t="s">
        <v>1062</v>
      </c>
      <c r="C17" s="72" t="s">
        <v>841</v>
      </c>
      <c r="D17" s="113">
        <v>521</v>
      </c>
      <c r="E17" s="112">
        <v>75</v>
      </c>
      <c r="F17" s="112">
        <v>36</v>
      </c>
      <c r="G17" s="112">
        <v>41</v>
      </c>
      <c r="H17" s="112">
        <v>79</v>
      </c>
      <c r="I17" s="112">
        <v>60</v>
      </c>
      <c r="J17" s="112">
        <v>35</v>
      </c>
      <c r="K17" s="112">
        <v>30</v>
      </c>
      <c r="L17" s="112">
        <v>48</v>
      </c>
      <c r="M17" s="112">
        <v>40</v>
      </c>
      <c r="N17" s="112"/>
      <c r="O17" s="112">
        <f t="shared" si="0"/>
        <v>356</v>
      </c>
      <c r="P17" s="111">
        <v>23</v>
      </c>
    </row>
    <row r="18" spans="1:16" ht="20.25">
      <c r="A18" s="172">
        <v>16</v>
      </c>
      <c r="B18" s="11" t="s">
        <v>1054</v>
      </c>
      <c r="C18" s="72" t="s">
        <v>1055</v>
      </c>
      <c r="D18" s="113">
        <v>379</v>
      </c>
      <c r="E18" s="112">
        <v>35</v>
      </c>
      <c r="F18" s="112">
        <v>42</v>
      </c>
      <c r="G18" s="112">
        <v>44</v>
      </c>
      <c r="H18" s="112">
        <v>62</v>
      </c>
      <c r="I18" s="112">
        <v>72</v>
      </c>
      <c r="J18" s="112">
        <v>41</v>
      </c>
      <c r="K18" s="112">
        <v>10</v>
      </c>
      <c r="L18" s="112">
        <v>48</v>
      </c>
      <c r="M18" s="112">
        <v>28</v>
      </c>
      <c r="N18" s="112"/>
      <c r="O18" s="112">
        <f t="shared" si="0"/>
        <v>306</v>
      </c>
      <c r="P18" s="111">
        <v>19</v>
      </c>
    </row>
    <row r="19" spans="1:16" ht="20.25">
      <c r="A19" s="172">
        <v>17</v>
      </c>
      <c r="B19" s="11" t="s">
        <v>1052</v>
      </c>
      <c r="C19" s="72" t="s">
        <v>1053</v>
      </c>
      <c r="D19" s="113">
        <v>350</v>
      </c>
      <c r="E19" s="112">
        <v>45</v>
      </c>
      <c r="F19" s="112">
        <v>40</v>
      </c>
      <c r="G19" s="112">
        <v>19</v>
      </c>
      <c r="H19" s="112">
        <v>51</v>
      </c>
      <c r="I19" s="112">
        <v>60</v>
      </c>
      <c r="J19" s="112">
        <v>44</v>
      </c>
      <c r="K19" s="112">
        <v>40</v>
      </c>
      <c r="L19" s="112">
        <v>43</v>
      </c>
      <c r="M19" s="112">
        <v>42</v>
      </c>
      <c r="N19" s="112"/>
      <c r="O19" s="112">
        <f t="shared" si="0"/>
        <v>299</v>
      </c>
      <c r="P19" s="111">
        <v>18</v>
      </c>
    </row>
    <row r="20" spans="1:16" ht="20.25">
      <c r="A20" s="172">
        <v>18</v>
      </c>
      <c r="B20" s="11" t="s">
        <v>1034</v>
      </c>
      <c r="C20" s="72" t="s">
        <v>1035</v>
      </c>
      <c r="D20" s="113">
        <v>235</v>
      </c>
      <c r="E20" s="112">
        <v>35</v>
      </c>
      <c r="F20" s="112">
        <v>56</v>
      </c>
      <c r="G20" s="112">
        <v>36</v>
      </c>
      <c r="H20" s="112">
        <v>43</v>
      </c>
      <c r="I20" s="112">
        <v>42</v>
      </c>
      <c r="J20" s="112">
        <v>45</v>
      </c>
      <c r="K20" s="112">
        <v>22</v>
      </c>
      <c r="L20" s="112">
        <v>48</v>
      </c>
      <c r="M20" s="112">
        <v>28</v>
      </c>
      <c r="N20" s="112"/>
      <c r="O20" s="112">
        <f t="shared" si="0"/>
        <v>279</v>
      </c>
      <c r="P20" s="111">
        <v>6</v>
      </c>
    </row>
    <row r="21" spans="1:16" ht="20.25">
      <c r="A21" s="172">
        <v>19</v>
      </c>
      <c r="B21" s="11" t="s">
        <v>1027</v>
      </c>
      <c r="C21" s="72" t="s">
        <v>1028</v>
      </c>
      <c r="D21" s="113">
        <v>77</v>
      </c>
      <c r="E21" s="112">
        <v>35</v>
      </c>
      <c r="F21" s="112">
        <v>38</v>
      </c>
      <c r="G21" s="112">
        <v>8</v>
      </c>
      <c r="H21" s="112">
        <v>45</v>
      </c>
      <c r="I21" s="112">
        <v>49</v>
      </c>
      <c r="J21" s="112">
        <v>16</v>
      </c>
      <c r="K21" s="112">
        <v>35</v>
      </c>
      <c r="L21" s="112">
        <v>48</v>
      </c>
      <c r="M21" s="112">
        <v>15</v>
      </c>
      <c r="N21" s="112"/>
      <c r="O21" s="112">
        <f t="shared" si="0"/>
        <v>226</v>
      </c>
      <c r="P21" s="111">
        <v>1</v>
      </c>
    </row>
    <row r="22" spans="1:16" ht="20.25">
      <c r="A22" s="172">
        <v>20</v>
      </c>
      <c r="B22" s="11" t="s">
        <v>1032</v>
      </c>
      <c r="C22" s="72" t="s">
        <v>1033</v>
      </c>
      <c r="D22" s="113">
        <v>225</v>
      </c>
      <c r="E22" s="112">
        <v>62</v>
      </c>
      <c r="F22" s="112">
        <v>35</v>
      </c>
      <c r="G22" s="112">
        <v>26</v>
      </c>
      <c r="H22" s="112">
        <v>64</v>
      </c>
      <c r="I22" s="112">
        <v>33</v>
      </c>
      <c r="J22" s="112">
        <v>56</v>
      </c>
      <c r="K22" s="112">
        <v>33</v>
      </c>
      <c r="L22" s="112">
        <v>25</v>
      </c>
      <c r="M22" s="112">
        <v>35</v>
      </c>
      <c r="N22" s="112"/>
      <c r="O22" s="112">
        <f t="shared" si="0"/>
        <v>309</v>
      </c>
      <c r="P22" s="111">
        <v>5</v>
      </c>
    </row>
    <row r="23" spans="1:16" ht="20.25">
      <c r="A23" s="172">
        <v>21</v>
      </c>
      <c r="B23" s="11" t="s">
        <v>1058</v>
      </c>
      <c r="C23" s="72" t="s">
        <v>1059</v>
      </c>
      <c r="D23" s="113">
        <v>442</v>
      </c>
      <c r="E23" s="112">
        <v>35</v>
      </c>
      <c r="F23" s="112">
        <v>35</v>
      </c>
      <c r="G23" s="112">
        <v>6</v>
      </c>
      <c r="H23" s="112">
        <v>35</v>
      </c>
      <c r="I23" s="112">
        <v>13</v>
      </c>
      <c r="J23" s="112">
        <v>35</v>
      </c>
      <c r="K23" s="112">
        <v>10</v>
      </c>
      <c r="L23" s="112">
        <v>25</v>
      </c>
      <c r="M23" s="112">
        <v>30</v>
      </c>
      <c r="N23" s="112"/>
      <c r="O23" s="112">
        <f t="shared" si="0"/>
        <v>169</v>
      </c>
      <c r="P23" s="111">
        <v>21</v>
      </c>
    </row>
    <row r="24" spans="1:16" ht="20.25">
      <c r="A24" s="172">
        <v>22</v>
      </c>
      <c r="B24" s="11" t="s">
        <v>1036</v>
      </c>
      <c r="C24" s="72" t="s">
        <v>977</v>
      </c>
      <c r="D24" s="113">
        <v>240</v>
      </c>
      <c r="E24" s="112">
        <v>35</v>
      </c>
      <c r="F24" s="112">
        <v>54</v>
      </c>
      <c r="G24" s="112">
        <v>7</v>
      </c>
      <c r="H24" s="112">
        <v>16</v>
      </c>
      <c r="I24" s="112">
        <v>33</v>
      </c>
      <c r="J24" s="112">
        <v>23</v>
      </c>
      <c r="K24" s="112">
        <v>17</v>
      </c>
      <c r="L24" s="112">
        <v>30</v>
      </c>
      <c r="M24" s="112">
        <v>40</v>
      </c>
      <c r="N24" s="112"/>
      <c r="O24" s="112">
        <f t="shared" si="0"/>
        <v>185</v>
      </c>
      <c r="P24" s="111">
        <v>7</v>
      </c>
    </row>
    <row r="25" spans="1:16" ht="20.25">
      <c r="A25" s="172">
        <v>23</v>
      </c>
      <c r="B25" s="11" t="s">
        <v>1060</v>
      </c>
      <c r="C25" s="72" t="s">
        <v>1061</v>
      </c>
      <c r="D25" s="113">
        <v>480</v>
      </c>
      <c r="E25" s="112">
        <v>35</v>
      </c>
      <c r="F25" s="112">
        <v>14</v>
      </c>
      <c r="G25" s="112">
        <v>0</v>
      </c>
      <c r="H25" s="112">
        <v>15</v>
      </c>
      <c r="I25" s="112">
        <v>23</v>
      </c>
      <c r="J25" s="112">
        <v>16</v>
      </c>
      <c r="K25" s="112">
        <v>5</v>
      </c>
      <c r="L25" s="112">
        <v>35</v>
      </c>
      <c r="M25" s="112">
        <v>12</v>
      </c>
      <c r="N25" s="112"/>
      <c r="O25" s="112">
        <f t="shared" si="0"/>
        <v>108</v>
      </c>
      <c r="P25" s="111">
        <v>22</v>
      </c>
    </row>
    <row r="47" spans="7:7" ht="17.25">
      <c r="G47" s="116" t="s">
        <v>42</v>
      </c>
    </row>
    <row r="48" spans="7:7" ht="17.25">
      <c r="G48" s="116" t="s">
        <v>49</v>
      </c>
    </row>
    <row r="49" spans="7:7" ht="17.25">
      <c r="G49" s="116" t="s">
        <v>51</v>
      </c>
    </row>
    <row r="50" spans="7:7" ht="17.25">
      <c r="G50" s="140" t="s">
        <v>53</v>
      </c>
    </row>
    <row r="51" spans="7:7" ht="17.25">
      <c r="G51" s="116" t="s">
        <v>54</v>
      </c>
    </row>
    <row r="52" spans="7:7" ht="17.25">
      <c r="G52" s="116" t="s">
        <v>55</v>
      </c>
    </row>
    <row r="53" spans="7:7" ht="17.25">
      <c r="G53" s="116" t="s">
        <v>56</v>
      </c>
    </row>
    <row r="54" spans="7:7" ht="17.25">
      <c r="G54" s="116" t="s">
        <v>57</v>
      </c>
    </row>
    <row r="55" spans="7:7" ht="17.25">
      <c r="G55" s="116" t="s">
        <v>58</v>
      </c>
    </row>
    <row r="56" spans="7:7" ht="17.25">
      <c r="G56" s="116" t="s">
        <v>59</v>
      </c>
    </row>
    <row r="57" spans="7:7" ht="17.25">
      <c r="G57" s="116" t="s">
        <v>60</v>
      </c>
    </row>
    <row r="58" spans="7:7" ht="17.25">
      <c r="G58" s="116" t="s">
        <v>61</v>
      </c>
    </row>
    <row r="59" spans="7:7" ht="17.25">
      <c r="G59" s="116" t="s">
        <v>63</v>
      </c>
    </row>
    <row r="60" spans="7:7" ht="17.25">
      <c r="G60" s="116" t="s">
        <v>62</v>
      </c>
    </row>
    <row r="61" spans="7:7" ht="17.25">
      <c r="G61" s="116" t="s">
        <v>64</v>
      </c>
    </row>
    <row r="62" spans="7:7" ht="17.25">
      <c r="G62" s="116" t="s">
        <v>65</v>
      </c>
    </row>
  </sheetData>
  <sortState ref="A3:O25">
    <sortCondition descending="1" ref="O3"/>
  </sortState>
  <conditionalFormatting sqref="E3:K25">
    <cfRule type="cellIs" dxfId="12" priority="1" operator="lessThan">
      <formula>35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27"/>
  <sheetViews>
    <sheetView workbookViewId="0">
      <selection activeCell="C24" sqref="C24"/>
    </sheetView>
  </sheetViews>
  <sheetFormatPr defaultRowHeight="15.75"/>
  <cols>
    <col min="5" max="14" width="9" style="98"/>
    <col min="21" max="21" width="0" hidden="1" customWidth="1"/>
  </cols>
  <sheetData>
    <row r="1" spans="1:24" ht="132" customHeight="1">
      <c r="A1" t="s">
        <v>0</v>
      </c>
      <c r="B1" t="s">
        <v>1</v>
      </c>
      <c r="C1" t="s">
        <v>2</v>
      </c>
      <c r="D1" t="s">
        <v>3</v>
      </c>
      <c r="E1" s="121" t="s">
        <v>120</v>
      </c>
      <c r="F1" s="121" t="s">
        <v>97</v>
      </c>
      <c r="G1" s="123" t="s">
        <v>1280</v>
      </c>
      <c r="H1" s="121" t="s">
        <v>129</v>
      </c>
      <c r="I1" s="121" t="s">
        <v>115</v>
      </c>
      <c r="J1" s="121" t="s">
        <v>145</v>
      </c>
      <c r="K1" s="121" t="s">
        <v>86</v>
      </c>
      <c r="L1" s="121" t="s">
        <v>1288</v>
      </c>
      <c r="M1" s="121" t="s">
        <v>1289</v>
      </c>
      <c r="N1" s="121"/>
      <c r="P1" t="s">
        <v>0</v>
      </c>
    </row>
    <row r="2" spans="1:24" s="4" customFormat="1" ht="31.5" hidden="1" customHeight="1">
      <c r="E2" s="122" t="s">
        <v>272</v>
      </c>
      <c r="F2" s="122" t="s">
        <v>273</v>
      </c>
      <c r="G2" s="124" t="s">
        <v>274</v>
      </c>
      <c r="H2" s="122" t="s">
        <v>275</v>
      </c>
      <c r="I2" s="122" t="s">
        <v>276</v>
      </c>
      <c r="J2" s="122" t="s">
        <v>277</v>
      </c>
      <c r="K2" s="122" t="s">
        <v>278</v>
      </c>
      <c r="L2" s="122" t="s">
        <v>279</v>
      </c>
      <c r="M2" s="122" t="s">
        <v>280</v>
      </c>
      <c r="N2" s="122"/>
    </row>
    <row r="3" spans="1:24" ht="20.25">
      <c r="A3" s="7">
        <v>1</v>
      </c>
      <c r="B3" s="11" t="s">
        <v>1002</v>
      </c>
      <c r="C3" s="72" t="s">
        <v>1003</v>
      </c>
      <c r="D3" s="113">
        <v>262</v>
      </c>
      <c r="E3" s="98">
        <v>82</v>
      </c>
      <c r="F3" s="98">
        <v>97</v>
      </c>
      <c r="G3" s="98">
        <v>76</v>
      </c>
      <c r="H3" s="98">
        <v>93</v>
      </c>
      <c r="I3" s="98">
        <v>87</v>
      </c>
      <c r="J3" s="98">
        <v>95</v>
      </c>
      <c r="K3" s="98">
        <v>97</v>
      </c>
      <c r="L3" s="98">
        <v>48</v>
      </c>
      <c r="M3" s="98">
        <v>38</v>
      </c>
      <c r="O3">
        <f t="shared" ref="O3:O22" si="0">SUM(E3:K3)</f>
        <v>627</v>
      </c>
      <c r="P3">
        <v>7</v>
      </c>
      <c r="T3">
        <v>40</v>
      </c>
      <c r="U3">
        <f t="shared" ref="U3:U21" si="1">T3/2</f>
        <v>20</v>
      </c>
      <c r="V3">
        <f>T3/2</f>
        <v>20</v>
      </c>
      <c r="W3">
        <v>32</v>
      </c>
      <c r="X3">
        <f>SUM(V3,W3)</f>
        <v>52</v>
      </c>
    </row>
    <row r="4" spans="1:24" ht="20.25">
      <c r="A4" s="7">
        <v>2</v>
      </c>
      <c r="B4" s="11" t="s">
        <v>996</v>
      </c>
      <c r="C4" s="72" t="s">
        <v>997</v>
      </c>
      <c r="D4" s="113">
        <v>201</v>
      </c>
      <c r="E4" s="98">
        <v>93</v>
      </c>
      <c r="F4" s="98">
        <v>98</v>
      </c>
      <c r="G4" s="98">
        <v>84</v>
      </c>
      <c r="H4" s="98">
        <v>90</v>
      </c>
      <c r="I4" s="98">
        <v>74</v>
      </c>
      <c r="J4" s="98">
        <v>94</v>
      </c>
      <c r="K4" s="98">
        <v>94</v>
      </c>
      <c r="L4" s="98">
        <v>48</v>
      </c>
      <c r="M4" s="98">
        <v>42</v>
      </c>
      <c r="O4">
        <f t="shared" si="0"/>
        <v>627</v>
      </c>
      <c r="P4">
        <v>4</v>
      </c>
      <c r="R4" s="3"/>
      <c r="S4" s="3"/>
      <c r="T4">
        <v>85</v>
      </c>
      <c r="U4">
        <f t="shared" si="1"/>
        <v>42.5</v>
      </c>
      <c r="V4">
        <v>43</v>
      </c>
      <c r="W4">
        <v>37</v>
      </c>
      <c r="X4">
        <f t="shared" ref="X4:X21" si="2">SUM(V4,W4)</f>
        <v>80</v>
      </c>
    </row>
    <row r="5" spans="1:24" ht="20.25">
      <c r="A5" s="7">
        <v>3</v>
      </c>
      <c r="B5" s="11" t="s">
        <v>1025</v>
      </c>
      <c r="C5" s="72" t="s">
        <v>1026</v>
      </c>
      <c r="D5" s="113">
        <v>469</v>
      </c>
      <c r="E5" s="98">
        <v>86</v>
      </c>
      <c r="F5" s="98">
        <v>96</v>
      </c>
      <c r="G5" s="98">
        <v>77</v>
      </c>
      <c r="H5" s="98">
        <v>92</v>
      </c>
      <c r="I5" s="98">
        <v>80</v>
      </c>
      <c r="J5" s="98">
        <v>83</v>
      </c>
      <c r="K5" s="98">
        <v>96</v>
      </c>
      <c r="L5" s="98">
        <v>48</v>
      </c>
      <c r="M5" s="98">
        <v>42</v>
      </c>
      <c r="O5">
        <f t="shared" si="0"/>
        <v>610</v>
      </c>
      <c r="P5">
        <v>20</v>
      </c>
      <c r="R5" s="3"/>
      <c r="S5" s="3"/>
      <c r="T5">
        <v>35</v>
      </c>
      <c r="U5">
        <f t="shared" si="1"/>
        <v>17.5</v>
      </c>
      <c r="V5">
        <v>18</v>
      </c>
      <c r="W5">
        <v>5</v>
      </c>
      <c r="X5">
        <f t="shared" si="2"/>
        <v>23</v>
      </c>
    </row>
    <row r="6" spans="1:24" ht="20.25">
      <c r="A6" s="7">
        <v>4</v>
      </c>
      <c r="B6" s="11" t="s">
        <v>1017</v>
      </c>
      <c r="C6" s="72" t="s">
        <v>1018</v>
      </c>
      <c r="D6" s="113">
        <v>361</v>
      </c>
      <c r="E6" s="98">
        <v>65</v>
      </c>
      <c r="F6" s="98">
        <v>93</v>
      </c>
      <c r="G6" s="98">
        <v>78</v>
      </c>
      <c r="H6" s="98">
        <v>81</v>
      </c>
      <c r="I6" s="98">
        <v>79</v>
      </c>
      <c r="J6" s="98">
        <v>81</v>
      </c>
      <c r="K6" s="98">
        <v>88</v>
      </c>
      <c r="L6" s="98">
        <v>48</v>
      </c>
      <c r="M6" s="98">
        <v>45</v>
      </c>
      <c r="O6">
        <f t="shared" si="0"/>
        <v>565</v>
      </c>
      <c r="P6">
        <v>16</v>
      </c>
      <c r="R6" s="3"/>
      <c r="S6" s="3"/>
      <c r="T6">
        <v>85</v>
      </c>
      <c r="U6">
        <f t="shared" si="1"/>
        <v>42.5</v>
      </c>
      <c r="V6">
        <v>43</v>
      </c>
      <c r="W6">
        <v>50</v>
      </c>
      <c r="X6">
        <f t="shared" si="2"/>
        <v>93</v>
      </c>
    </row>
    <row r="7" spans="1:24" ht="20.25">
      <c r="A7" s="7">
        <v>5</v>
      </c>
      <c r="B7" s="11" t="s">
        <v>1019</v>
      </c>
      <c r="C7" s="72" t="s">
        <v>1020</v>
      </c>
      <c r="D7" s="113">
        <v>422</v>
      </c>
      <c r="E7" s="98">
        <v>82</v>
      </c>
      <c r="F7" s="98">
        <v>88</v>
      </c>
      <c r="G7" s="98">
        <v>66</v>
      </c>
      <c r="H7" s="98">
        <v>72</v>
      </c>
      <c r="I7" s="98">
        <v>68</v>
      </c>
      <c r="J7" s="98">
        <v>73</v>
      </c>
      <c r="K7" s="98">
        <v>80</v>
      </c>
      <c r="L7" s="98">
        <v>48</v>
      </c>
      <c r="M7" s="98">
        <v>45</v>
      </c>
      <c r="O7">
        <f t="shared" si="0"/>
        <v>529</v>
      </c>
      <c r="P7">
        <v>17</v>
      </c>
      <c r="R7" s="3"/>
      <c r="S7" s="3"/>
      <c r="T7">
        <v>55</v>
      </c>
      <c r="U7">
        <f t="shared" si="1"/>
        <v>27.5</v>
      </c>
      <c r="V7">
        <v>28</v>
      </c>
      <c r="W7">
        <v>43</v>
      </c>
      <c r="X7">
        <f t="shared" si="2"/>
        <v>71</v>
      </c>
    </row>
    <row r="8" spans="1:24" ht="20.25">
      <c r="A8" s="7">
        <v>6</v>
      </c>
      <c r="B8" s="11" t="s">
        <v>1023</v>
      </c>
      <c r="C8" s="72" t="s">
        <v>1024</v>
      </c>
      <c r="D8" s="113">
        <v>427</v>
      </c>
      <c r="E8" s="98">
        <v>76</v>
      </c>
      <c r="F8" s="98">
        <v>93</v>
      </c>
      <c r="G8" s="98">
        <v>70</v>
      </c>
      <c r="H8" s="98">
        <v>66</v>
      </c>
      <c r="I8" s="98">
        <v>63</v>
      </c>
      <c r="J8" s="98">
        <v>52</v>
      </c>
      <c r="K8" s="98">
        <v>76</v>
      </c>
      <c r="L8" s="98">
        <v>48</v>
      </c>
      <c r="M8" s="98">
        <v>20</v>
      </c>
      <c r="O8">
        <f t="shared" si="0"/>
        <v>496</v>
      </c>
      <c r="P8">
        <v>19</v>
      </c>
      <c r="R8" s="3"/>
      <c r="S8" s="3"/>
      <c r="T8">
        <v>65</v>
      </c>
      <c r="U8">
        <f t="shared" si="1"/>
        <v>32.5</v>
      </c>
      <c r="V8">
        <v>33</v>
      </c>
      <c r="W8">
        <v>30</v>
      </c>
      <c r="X8">
        <f t="shared" si="2"/>
        <v>63</v>
      </c>
    </row>
    <row r="9" spans="1:24" ht="20.25">
      <c r="A9" s="7">
        <v>7</v>
      </c>
      <c r="B9" s="11" t="s">
        <v>1009</v>
      </c>
      <c r="C9" s="72" t="s">
        <v>933</v>
      </c>
      <c r="D9" s="113">
        <v>322</v>
      </c>
      <c r="E9" s="98">
        <v>75</v>
      </c>
      <c r="F9" s="98">
        <v>91</v>
      </c>
      <c r="G9" s="98">
        <v>52</v>
      </c>
      <c r="H9" s="98">
        <v>62</v>
      </c>
      <c r="I9" s="98">
        <v>61</v>
      </c>
      <c r="J9" s="98">
        <v>70</v>
      </c>
      <c r="K9" s="98">
        <v>84</v>
      </c>
      <c r="L9" s="98">
        <v>48</v>
      </c>
      <c r="M9" s="98">
        <v>35</v>
      </c>
      <c r="O9">
        <f t="shared" si="0"/>
        <v>495</v>
      </c>
      <c r="P9">
        <v>11</v>
      </c>
      <c r="R9" s="3"/>
      <c r="S9" s="3"/>
      <c r="T9">
        <v>80</v>
      </c>
      <c r="U9">
        <f t="shared" si="1"/>
        <v>40</v>
      </c>
      <c r="V9">
        <f t="shared" ref="V9:V19" si="3">T9/2</f>
        <v>40</v>
      </c>
      <c r="W9">
        <v>42</v>
      </c>
      <c r="X9">
        <f t="shared" si="2"/>
        <v>82</v>
      </c>
    </row>
    <row r="10" spans="1:24" ht="20.25">
      <c r="A10" s="7">
        <v>8</v>
      </c>
      <c r="B10" s="11" t="s">
        <v>1010</v>
      </c>
      <c r="C10" s="72" t="s">
        <v>1011</v>
      </c>
      <c r="D10" s="113">
        <v>329</v>
      </c>
      <c r="E10" s="98">
        <v>66</v>
      </c>
      <c r="F10" s="98">
        <v>80</v>
      </c>
      <c r="G10" s="98">
        <v>69</v>
      </c>
      <c r="H10" s="98">
        <v>53</v>
      </c>
      <c r="I10" s="98">
        <v>68</v>
      </c>
      <c r="J10" s="98">
        <v>72</v>
      </c>
      <c r="K10" s="98">
        <v>81</v>
      </c>
      <c r="L10" s="98">
        <v>48</v>
      </c>
      <c r="M10" s="98">
        <v>32</v>
      </c>
      <c r="O10">
        <f t="shared" si="0"/>
        <v>489</v>
      </c>
      <c r="P10">
        <v>12</v>
      </c>
      <c r="R10" s="3"/>
      <c r="S10" s="3"/>
      <c r="T10">
        <v>20</v>
      </c>
      <c r="U10">
        <f t="shared" si="1"/>
        <v>10</v>
      </c>
      <c r="V10">
        <f t="shared" si="3"/>
        <v>10</v>
      </c>
      <c r="W10">
        <v>34</v>
      </c>
      <c r="X10">
        <f t="shared" si="2"/>
        <v>44</v>
      </c>
    </row>
    <row r="11" spans="1:24" ht="20.25">
      <c r="A11" s="7">
        <v>9</v>
      </c>
      <c r="B11" s="11" t="s">
        <v>1015</v>
      </c>
      <c r="C11" s="72" t="s">
        <v>1016</v>
      </c>
      <c r="D11" s="113">
        <v>339</v>
      </c>
      <c r="E11" s="98">
        <v>64</v>
      </c>
      <c r="F11" s="98">
        <v>86</v>
      </c>
      <c r="G11" s="98">
        <v>56</v>
      </c>
      <c r="H11" s="98">
        <v>57</v>
      </c>
      <c r="I11" s="98">
        <v>72</v>
      </c>
      <c r="J11" s="98">
        <v>60</v>
      </c>
      <c r="K11" s="98">
        <v>90</v>
      </c>
      <c r="L11" s="98">
        <v>25</v>
      </c>
      <c r="M11" s="98">
        <v>38</v>
      </c>
      <c r="O11">
        <f t="shared" si="0"/>
        <v>485</v>
      </c>
      <c r="P11">
        <v>15</v>
      </c>
      <c r="R11" s="3"/>
      <c r="S11" s="3"/>
      <c r="T11">
        <v>40</v>
      </c>
      <c r="U11">
        <f t="shared" si="1"/>
        <v>20</v>
      </c>
      <c r="V11">
        <f t="shared" si="3"/>
        <v>20</v>
      </c>
      <c r="W11">
        <v>12</v>
      </c>
      <c r="X11">
        <f t="shared" si="2"/>
        <v>32</v>
      </c>
    </row>
    <row r="12" spans="1:24" ht="20.25">
      <c r="A12" s="7">
        <v>10</v>
      </c>
      <c r="B12" s="11" t="s">
        <v>998</v>
      </c>
      <c r="C12" s="72" t="s">
        <v>999</v>
      </c>
      <c r="D12" s="113">
        <v>202</v>
      </c>
      <c r="E12" s="98">
        <v>71</v>
      </c>
      <c r="F12" s="98">
        <v>85</v>
      </c>
      <c r="G12" s="98">
        <v>51</v>
      </c>
      <c r="H12" s="98">
        <v>61</v>
      </c>
      <c r="I12" s="98">
        <v>58</v>
      </c>
      <c r="J12" s="98">
        <v>75</v>
      </c>
      <c r="K12" s="98">
        <v>78</v>
      </c>
      <c r="L12" s="98">
        <v>48</v>
      </c>
      <c r="M12" s="98">
        <v>20</v>
      </c>
      <c r="O12">
        <f t="shared" si="0"/>
        <v>479</v>
      </c>
      <c r="P12">
        <v>5</v>
      </c>
      <c r="R12" s="3"/>
      <c r="S12" s="3"/>
      <c r="T12">
        <v>40</v>
      </c>
      <c r="U12">
        <f t="shared" si="1"/>
        <v>20</v>
      </c>
      <c r="V12">
        <f t="shared" si="3"/>
        <v>20</v>
      </c>
      <c r="W12">
        <v>20</v>
      </c>
      <c r="X12">
        <f t="shared" si="2"/>
        <v>40</v>
      </c>
    </row>
    <row r="13" spans="1:24" ht="20.25">
      <c r="A13" s="7">
        <v>11</v>
      </c>
      <c r="B13" s="11" t="s">
        <v>992</v>
      </c>
      <c r="C13" s="72" t="s">
        <v>925</v>
      </c>
      <c r="D13" s="113">
        <v>6</v>
      </c>
      <c r="E13" s="98">
        <v>52</v>
      </c>
      <c r="F13" s="98">
        <v>74</v>
      </c>
      <c r="G13" s="98">
        <v>55</v>
      </c>
      <c r="H13" s="98">
        <v>66</v>
      </c>
      <c r="I13" s="98">
        <v>66</v>
      </c>
      <c r="J13" s="98">
        <v>74</v>
      </c>
      <c r="K13" s="98">
        <v>77</v>
      </c>
      <c r="L13" s="98">
        <v>48</v>
      </c>
      <c r="M13" s="98">
        <v>20</v>
      </c>
      <c r="O13">
        <f t="shared" si="0"/>
        <v>464</v>
      </c>
      <c r="P13">
        <v>1</v>
      </c>
      <c r="T13">
        <v>65</v>
      </c>
      <c r="U13">
        <f t="shared" si="1"/>
        <v>32.5</v>
      </c>
      <c r="V13">
        <v>33</v>
      </c>
      <c r="W13">
        <v>42</v>
      </c>
      <c r="X13">
        <f t="shared" si="2"/>
        <v>75</v>
      </c>
    </row>
    <row r="14" spans="1:24" ht="20.25">
      <c r="A14" s="7">
        <v>12</v>
      </c>
      <c r="B14" s="11" t="s">
        <v>1004</v>
      </c>
      <c r="C14" s="72" t="s">
        <v>1005</v>
      </c>
      <c r="D14" s="113">
        <v>272</v>
      </c>
      <c r="E14" s="98">
        <v>44</v>
      </c>
      <c r="F14" s="98">
        <v>96</v>
      </c>
      <c r="G14" s="98">
        <v>54</v>
      </c>
      <c r="H14" s="98">
        <v>55</v>
      </c>
      <c r="I14" s="98">
        <v>70</v>
      </c>
      <c r="J14" s="98">
        <v>47</v>
      </c>
      <c r="K14" s="98">
        <v>82</v>
      </c>
      <c r="L14" s="98">
        <v>25</v>
      </c>
      <c r="M14" s="98">
        <v>32</v>
      </c>
      <c r="O14">
        <f t="shared" si="0"/>
        <v>448</v>
      </c>
      <c r="P14">
        <v>8</v>
      </c>
      <c r="T14" s="129">
        <v>60</v>
      </c>
      <c r="U14">
        <f t="shared" si="1"/>
        <v>30</v>
      </c>
      <c r="V14">
        <f t="shared" si="3"/>
        <v>30</v>
      </c>
      <c r="W14">
        <v>36</v>
      </c>
      <c r="X14">
        <f t="shared" si="2"/>
        <v>66</v>
      </c>
    </row>
    <row r="15" spans="1:24" ht="20.25">
      <c r="A15" s="7">
        <v>13</v>
      </c>
      <c r="B15" s="11" t="s">
        <v>1013</v>
      </c>
      <c r="C15" s="72" t="s">
        <v>1014</v>
      </c>
      <c r="D15" s="113">
        <v>338</v>
      </c>
      <c r="E15" s="98">
        <v>56</v>
      </c>
      <c r="F15" s="98">
        <v>85</v>
      </c>
      <c r="G15" s="98">
        <v>47</v>
      </c>
      <c r="H15" s="98">
        <v>35</v>
      </c>
      <c r="I15" s="98">
        <v>61</v>
      </c>
      <c r="J15" s="98">
        <v>45</v>
      </c>
      <c r="K15" s="98">
        <v>75</v>
      </c>
      <c r="L15" s="98">
        <v>40</v>
      </c>
      <c r="M15" s="98">
        <v>20</v>
      </c>
      <c r="O15">
        <f t="shared" si="0"/>
        <v>404</v>
      </c>
      <c r="P15">
        <v>14</v>
      </c>
      <c r="T15">
        <v>40</v>
      </c>
      <c r="U15">
        <f t="shared" si="1"/>
        <v>20</v>
      </c>
      <c r="V15">
        <f t="shared" si="3"/>
        <v>20</v>
      </c>
      <c r="W15">
        <v>17</v>
      </c>
      <c r="X15">
        <f t="shared" si="2"/>
        <v>37</v>
      </c>
    </row>
    <row r="16" spans="1:24" ht="20.25">
      <c r="A16" s="7">
        <v>14</v>
      </c>
      <c r="B16" s="11" t="s">
        <v>993</v>
      </c>
      <c r="C16" s="72" t="s">
        <v>994</v>
      </c>
      <c r="D16" s="113">
        <v>191</v>
      </c>
      <c r="E16" s="98">
        <v>80</v>
      </c>
      <c r="F16" s="98">
        <v>66</v>
      </c>
      <c r="G16" s="98">
        <v>39</v>
      </c>
      <c r="H16" s="98">
        <v>35</v>
      </c>
      <c r="I16" s="98">
        <v>56</v>
      </c>
      <c r="J16" s="98">
        <v>36</v>
      </c>
      <c r="K16" s="98">
        <v>80</v>
      </c>
      <c r="L16" s="98">
        <v>38</v>
      </c>
      <c r="M16" s="98">
        <v>30</v>
      </c>
      <c r="O16">
        <f t="shared" si="0"/>
        <v>392</v>
      </c>
      <c r="P16">
        <v>2</v>
      </c>
      <c r="T16">
        <v>55</v>
      </c>
      <c r="U16">
        <f t="shared" si="1"/>
        <v>27.5</v>
      </c>
      <c r="V16">
        <v>28</v>
      </c>
      <c r="W16">
        <v>28</v>
      </c>
      <c r="X16">
        <f t="shared" si="2"/>
        <v>56</v>
      </c>
    </row>
    <row r="17" spans="1:24" ht="20.25">
      <c r="A17" s="7">
        <v>15</v>
      </c>
      <c r="B17" s="11" t="s">
        <v>1000</v>
      </c>
      <c r="C17" s="72" t="s">
        <v>1001</v>
      </c>
      <c r="D17" s="113">
        <v>261</v>
      </c>
      <c r="E17" s="98">
        <v>63</v>
      </c>
      <c r="F17" s="98">
        <v>56</v>
      </c>
      <c r="G17" s="98">
        <v>41</v>
      </c>
      <c r="H17" s="98">
        <v>35</v>
      </c>
      <c r="I17" s="98">
        <v>58</v>
      </c>
      <c r="J17" s="98">
        <v>48</v>
      </c>
      <c r="K17" s="98">
        <v>87</v>
      </c>
      <c r="L17" s="98">
        <v>40</v>
      </c>
      <c r="M17" s="98">
        <v>30</v>
      </c>
      <c r="O17">
        <f t="shared" si="0"/>
        <v>388</v>
      </c>
      <c r="P17">
        <v>6</v>
      </c>
      <c r="T17">
        <v>60</v>
      </c>
      <c r="U17">
        <f t="shared" si="1"/>
        <v>30</v>
      </c>
      <c r="V17">
        <f t="shared" si="3"/>
        <v>30</v>
      </c>
      <c r="W17">
        <v>34</v>
      </c>
      <c r="X17">
        <f t="shared" si="2"/>
        <v>64</v>
      </c>
    </row>
    <row r="18" spans="1:24" ht="20.25">
      <c r="A18" s="7">
        <v>16</v>
      </c>
      <c r="B18" s="11" t="s">
        <v>1008</v>
      </c>
      <c r="C18" s="72" t="s">
        <v>797</v>
      </c>
      <c r="D18" s="113">
        <v>319</v>
      </c>
      <c r="E18" s="98">
        <v>40</v>
      </c>
      <c r="F18" s="98">
        <v>42</v>
      </c>
      <c r="G18" s="98">
        <v>39</v>
      </c>
      <c r="H18" s="98">
        <v>41</v>
      </c>
      <c r="I18" s="98">
        <v>64</v>
      </c>
      <c r="J18" s="98">
        <v>35</v>
      </c>
      <c r="K18" s="98">
        <v>55</v>
      </c>
      <c r="L18" s="98">
        <v>25</v>
      </c>
      <c r="M18" s="98">
        <v>40</v>
      </c>
      <c r="O18">
        <f>SUM(E18:K18)</f>
        <v>316</v>
      </c>
      <c r="P18">
        <v>10</v>
      </c>
      <c r="T18">
        <v>80</v>
      </c>
      <c r="U18">
        <f>T18/2</f>
        <v>40</v>
      </c>
      <c r="V18">
        <f t="shared" ref="V18" si="4">T18/2</f>
        <v>40</v>
      </c>
      <c r="W18">
        <v>46</v>
      </c>
      <c r="X18">
        <f>SUM(V18,W18)</f>
        <v>86</v>
      </c>
    </row>
    <row r="19" spans="1:24" ht="20.25">
      <c r="A19" s="7">
        <v>17</v>
      </c>
      <c r="B19" s="11" t="s">
        <v>743</v>
      </c>
      <c r="C19" s="78" t="s">
        <v>1012</v>
      </c>
      <c r="D19" s="113">
        <v>336</v>
      </c>
      <c r="E19" s="98">
        <v>37</v>
      </c>
      <c r="F19" s="98">
        <v>48</v>
      </c>
      <c r="G19" s="98">
        <v>35</v>
      </c>
      <c r="H19" s="98">
        <v>20</v>
      </c>
      <c r="I19" s="98">
        <v>48</v>
      </c>
      <c r="J19" s="98">
        <v>45</v>
      </c>
      <c r="K19" s="98">
        <v>64</v>
      </c>
      <c r="L19" s="98">
        <v>20</v>
      </c>
      <c r="M19" s="98">
        <v>35</v>
      </c>
      <c r="O19">
        <f t="shared" si="0"/>
        <v>297</v>
      </c>
      <c r="P19">
        <v>13</v>
      </c>
      <c r="T19">
        <v>40</v>
      </c>
      <c r="U19">
        <f t="shared" si="1"/>
        <v>20</v>
      </c>
      <c r="V19">
        <f t="shared" si="3"/>
        <v>20</v>
      </c>
      <c r="W19">
        <v>45</v>
      </c>
      <c r="X19">
        <f t="shared" si="2"/>
        <v>65</v>
      </c>
    </row>
    <row r="20" spans="1:24" ht="20.25">
      <c r="A20" s="7">
        <v>18</v>
      </c>
      <c r="B20" s="11" t="s">
        <v>451</v>
      </c>
      <c r="C20" s="72" t="s">
        <v>995</v>
      </c>
      <c r="D20" s="113">
        <v>193</v>
      </c>
      <c r="E20" s="98">
        <v>23</v>
      </c>
      <c r="F20" s="98">
        <v>44</v>
      </c>
      <c r="G20" s="98">
        <v>12</v>
      </c>
      <c r="H20" s="98">
        <v>27</v>
      </c>
      <c r="I20" s="98">
        <v>46</v>
      </c>
      <c r="J20" s="98">
        <v>56</v>
      </c>
      <c r="K20" s="98">
        <v>70</v>
      </c>
      <c r="L20" s="98">
        <v>48</v>
      </c>
      <c r="M20" s="98">
        <v>40</v>
      </c>
      <c r="O20">
        <f t="shared" si="0"/>
        <v>278</v>
      </c>
      <c r="P20">
        <v>3</v>
      </c>
      <c r="T20">
        <v>55</v>
      </c>
      <c r="U20">
        <f t="shared" si="1"/>
        <v>27.5</v>
      </c>
      <c r="V20">
        <v>28</v>
      </c>
      <c r="W20">
        <v>21</v>
      </c>
      <c r="X20">
        <f t="shared" si="2"/>
        <v>49</v>
      </c>
    </row>
    <row r="21" spans="1:24" ht="20.25">
      <c r="A21" s="7">
        <v>19</v>
      </c>
      <c r="B21" s="11" t="s">
        <v>1021</v>
      </c>
      <c r="C21" s="72" t="s">
        <v>1022</v>
      </c>
      <c r="D21" s="113">
        <v>423</v>
      </c>
      <c r="E21" s="98">
        <v>49</v>
      </c>
      <c r="F21" s="98">
        <v>40</v>
      </c>
      <c r="G21" s="98">
        <v>30</v>
      </c>
      <c r="H21" s="98">
        <v>27</v>
      </c>
      <c r="I21" s="98">
        <v>39</v>
      </c>
      <c r="J21" s="98">
        <v>25</v>
      </c>
      <c r="K21" s="98">
        <v>60</v>
      </c>
      <c r="L21" s="98">
        <v>42</v>
      </c>
      <c r="M21" s="98">
        <v>35</v>
      </c>
      <c r="O21">
        <f t="shared" si="0"/>
        <v>270</v>
      </c>
      <c r="P21">
        <v>18</v>
      </c>
      <c r="T21">
        <v>85</v>
      </c>
      <c r="U21">
        <f t="shared" si="1"/>
        <v>42.5</v>
      </c>
      <c r="V21">
        <v>43</v>
      </c>
      <c r="W21">
        <v>33</v>
      </c>
      <c r="X21">
        <f t="shared" si="2"/>
        <v>76</v>
      </c>
    </row>
    <row r="22" spans="1:24" ht="20.25">
      <c r="A22" s="7">
        <v>20</v>
      </c>
      <c r="B22" s="11" t="s">
        <v>1006</v>
      </c>
      <c r="C22" s="72" t="s">
        <v>1007</v>
      </c>
      <c r="D22" s="113">
        <v>276</v>
      </c>
      <c r="E22" s="98">
        <v>32</v>
      </c>
      <c r="F22" s="98">
        <v>75</v>
      </c>
      <c r="G22" s="98">
        <v>21</v>
      </c>
      <c r="H22" s="98">
        <v>25</v>
      </c>
      <c r="I22" s="98">
        <v>47</v>
      </c>
      <c r="J22" s="98">
        <v>25</v>
      </c>
      <c r="K22" s="98">
        <v>60</v>
      </c>
      <c r="L22" s="98">
        <v>42</v>
      </c>
      <c r="M22" s="98">
        <v>25</v>
      </c>
      <c r="O22">
        <f t="shared" si="0"/>
        <v>285</v>
      </c>
      <c r="P22">
        <v>9</v>
      </c>
      <c r="T22">
        <v>65</v>
      </c>
      <c r="U22">
        <f>T22/2</f>
        <v>32.5</v>
      </c>
      <c r="V22">
        <v>33</v>
      </c>
      <c r="W22">
        <v>49</v>
      </c>
      <c r="X22">
        <f>SUM(V22,W22)</f>
        <v>82</v>
      </c>
    </row>
    <row r="27" spans="1:24">
      <c r="H27" s="137" t="s">
        <v>1281</v>
      </c>
    </row>
  </sheetData>
  <sortState ref="A3:O22">
    <sortCondition descending="1" ref="O3"/>
  </sortState>
  <conditionalFormatting sqref="E3:K22">
    <cfRule type="cellIs" dxfId="17" priority="1" operator="lessThan">
      <formula>35</formula>
    </cfRule>
  </conditionalFormatting>
  <pageMargins left="0.7" right="0.7" top="0.75" bottom="0.75" header="0.3" footer="0.3"/>
  <ignoredErrors>
    <ignoredError sqref="D1 A1:C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17"/>
  <sheetViews>
    <sheetView workbookViewId="0">
      <selection activeCell="O16" sqref="O16"/>
    </sheetView>
  </sheetViews>
  <sheetFormatPr defaultRowHeight="15.75"/>
  <cols>
    <col min="5" max="15" width="9" style="98"/>
  </cols>
  <sheetData>
    <row r="1" spans="1:18" ht="126">
      <c r="A1" t="s">
        <v>0</v>
      </c>
      <c r="B1" s="139" t="s">
        <v>1</v>
      </c>
      <c r="C1" s="139" t="s">
        <v>2</v>
      </c>
      <c r="D1" s="139" t="s">
        <v>3</v>
      </c>
      <c r="E1" s="121" t="s">
        <v>93</v>
      </c>
      <c r="F1" s="121" t="s">
        <v>126</v>
      </c>
      <c r="G1" s="121" t="s">
        <v>98</v>
      </c>
      <c r="H1" s="121" t="s">
        <v>122</v>
      </c>
      <c r="I1" s="121" t="s">
        <v>87</v>
      </c>
      <c r="J1" s="121" t="s">
        <v>146</v>
      </c>
      <c r="K1" s="121" t="s">
        <v>147</v>
      </c>
      <c r="L1" s="121" t="s">
        <v>133</v>
      </c>
      <c r="M1" s="121" t="s">
        <v>1288</v>
      </c>
      <c r="N1" s="121" t="s">
        <v>1289</v>
      </c>
      <c r="O1" s="121"/>
      <c r="P1" s="121"/>
      <c r="Q1" t="s">
        <v>0</v>
      </c>
    </row>
    <row r="2" spans="1:18" s="122" customFormat="1" ht="15.75" hidden="1" customHeight="1">
      <c r="E2" s="122" t="s">
        <v>281</v>
      </c>
      <c r="F2" s="122" t="s">
        <v>282</v>
      </c>
      <c r="G2" s="122" t="s">
        <v>283</v>
      </c>
      <c r="H2" s="122" t="s">
        <v>285</v>
      </c>
      <c r="I2" s="122" t="s">
        <v>284</v>
      </c>
      <c r="J2" s="122" t="s">
        <v>286</v>
      </c>
      <c r="K2" s="122" t="s">
        <v>287</v>
      </c>
      <c r="L2" s="122" t="s">
        <v>288</v>
      </c>
      <c r="M2" s="122" t="s">
        <v>289</v>
      </c>
      <c r="N2" s="122" t="s">
        <v>290</v>
      </c>
    </row>
    <row r="3" spans="1:18" ht="20.25">
      <c r="A3" s="7">
        <v>1</v>
      </c>
      <c r="B3" s="11" t="s">
        <v>988</v>
      </c>
      <c r="C3" s="72" t="s">
        <v>989</v>
      </c>
      <c r="D3" s="113">
        <v>475</v>
      </c>
      <c r="E3" s="98">
        <v>65</v>
      </c>
      <c r="F3" s="98">
        <v>78</v>
      </c>
      <c r="G3" s="98">
        <v>97</v>
      </c>
      <c r="H3" s="98">
        <v>99</v>
      </c>
      <c r="I3" s="98">
        <v>78</v>
      </c>
      <c r="J3" s="98">
        <v>90</v>
      </c>
      <c r="K3" s="98">
        <v>84</v>
      </c>
      <c r="L3" s="98">
        <v>89</v>
      </c>
      <c r="M3" s="98">
        <v>47</v>
      </c>
      <c r="N3" s="98">
        <v>39</v>
      </c>
      <c r="P3">
        <f t="shared" ref="P3:P15" si="0">SUM(E3:L3)</f>
        <v>680</v>
      </c>
      <c r="Q3">
        <v>14</v>
      </c>
    </row>
    <row r="4" spans="1:18" ht="20.25">
      <c r="A4" s="7">
        <v>2</v>
      </c>
      <c r="B4" s="11" t="s">
        <v>804</v>
      </c>
      <c r="C4" s="72" t="s">
        <v>985</v>
      </c>
      <c r="D4" s="113">
        <v>453</v>
      </c>
      <c r="E4" s="98">
        <v>60</v>
      </c>
      <c r="F4" s="98">
        <v>78</v>
      </c>
      <c r="G4" s="98">
        <v>92</v>
      </c>
      <c r="H4" s="98">
        <v>97</v>
      </c>
      <c r="I4" s="98">
        <v>83</v>
      </c>
      <c r="J4" s="98">
        <v>66</v>
      </c>
      <c r="K4" s="98">
        <v>80</v>
      </c>
      <c r="L4" s="98">
        <v>98</v>
      </c>
      <c r="M4" s="98">
        <v>43</v>
      </c>
      <c r="N4" s="98">
        <v>40</v>
      </c>
      <c r="P4">
        <f t="shared" si="0"/>
        <v>654</v>
      </c>
      <c r="Q4">
        <v>12</v>
      </c>
      <c r="R4" s="3"/>
    </row>
    <row r="5" spans="1:18" ht="20.25">
      <c r="A5" s="7">
        <v>3</v>
      </c>
      <c r="B5" s="11" t="s">
        <v>978</v>
      </c>
      <c r="C5" s="72" t="s">
        <v>979</v>
      </c>
      <c r="D5" s="113">
        <v>265</v>
      </c>
      <c r="E5" s="98">
        <v>40</v>
      </c>
      <c r="F5" s="98">
        <v>45</v>
      </c>
      <c r="G5" s="98">
        <v>95</v>
      </c>
      <c r="H5" s="98">
        <v>84</v>
      </c>
      <c r="I5" s="98">
        <v>73</v>
      </c>
      <c r="J5" s="98">
        <v>76</v>
      </c>
      <c r="K5" s="98">
        <v>73</v>
      </c>
      <c r="L5" s="98">
        <v>90</v>
      </c>
      <c r="M5" s="98">
        <v>45</v>
      </c>
      <c r="N5" s="98">
        <v>28</v>
      </c>
      <c r="P5">
        <f t="shared" si="0"/>
        <v>576</v>
      </c>
      <c r="Q5">
        <v>8</v>
      </c>
      <c r="R5" s="3"/>
    </row>
    <row r="6" spans="1:18" ht="20.25">
      <c r="A6" s="7">
        <v>4</v>
      </c>
      <c r="B6" s="11" t="s">
        <v>893</v>
      </c>
      <c r="C6" s="72" t="s">
        <v>980</v>
      </c>
      <c r="D6" s="113">
        <v>332</v>
      </c>
      <c r="E6" s="98">
        <v>50</v>
      </c>
      <c r="F6" s="98">
        <v>57</v>
      </c>
      <c r="G6" s="98">
        <v>91</v>
      </c>
      <c r="H6" s="98">
        <v>64</v>
      </c>
      <c r="I6" s="98">
        <v>49</v>
      </c>
      <c r="J6" s="98">
        <v>51</v>
      </c>
      <c r="K6" s="98">
        <v>87</v>
      </c>
      <c r="L6" s="98">
        <v>89</v>
      </c>
      <c r="M6" s="98">
        <v>40</v>
      </c>
      <c r="N6" s="98">
        <v>37</v>
      </c>
      <c r="P6">
        <f t="shared" si="0"/>
        <v>538</v>
      </c>
      <c r="Q6">
        <v>9</v>
      </c>
      <c r="R6" s="3"/>
    </row>
    <row r="7" spans="1:18" ht="20.25">
      <c r="A7" s="7">
        <v>5</v>
      </c>
      <c r="B7" s="11" t="s">
        <v>974</v>
      </c>
      <c r="C7" s="72" t="s">
        <v>975</v>
      </c>
      <c r="D7" s="113">
        <v>212</v>
      </c>
      <c r="E7" s="98">
        <v>35</v>
      </c>
      <c r="F7" s="98">
        <v>37</v>
      </c>
      <c r="G7" s="98">
        <v>83</v>
      </c>
      <c r="H7" s="98">
        <v>79</v>
      </c>
      <c r="I7" s="98">
        <v>51</v>
      </c>
      <c r="J7" s="98">
        <v>40</v>
      </c>
      <c r="K7" s="98">
        <v>83</v>
      </c>
      <c r="L7" s="98">
        <v>85</v>
      </c>
      <c r="M7" s="98">
        <v>28</v>
      </c>
      <c r="N7" s="98">
        <v>20</v>
      </c>
      <c r="P7">
        <f t="shared" si="0"/>
        <v>493</v>
      </c>
      <c r="Q7">
        <v>6</v>
      </c>
      <c r="R7" s="3"/>
    </row>
    <row r="8" spans="1:18" ht="20.25">
      <c r="A8" s="7">
        <v>6</v>
      </c>
      <c r="B8" s="11" t="s">
        <v>976</v>
      </c>
      <c r="C8" s="72" t="s">
        <v>977</v>
      </c>
      <c r="D8" s="113">
        <v>213</v>
      </c>
      <c r="E8" s="98">
        <v>45</v>
      </c>
      <c r="F8" s="98">
        <v>39</v>
      </c>
      <c r="G8" s="98">
        <v>66</v>
      </c>
      <c r="H8" s="98">
        <v>70</v>
      </c>
      <c r="I8" s="98">
        <v>42</v>
      </c>
      <c r="J8" s="98">
        <v>61</v>
      </c>
      <c r="K8" s="98">
        <v>63</v>
      </c>
      <c r="L8" s="98">
        <v>75</v>
      </c>
      <c r="M8" s="98">
        <v>40</v>
      </c>
      <c r="N8" s="98">
        <v>35</v>
      </c>
      <c r="P8">
        <f t="shared" si="0"/>
        <v>461</v>
      </c>
      <c r="Q8">
        <v>7</v>
      </c>
      <c r="R8" s="3"/>
    </row>
    <row r="9" spans="1:18" ht="20.25">
      <c r="A9" s="7">
        <v>7</v>
      </c>
      <c r="B9" s="11" t="s">
        <v>968</v>
      </c>
      <c r="C9" s="72" t="s">
        <v>969</v>
      </c>
      <c r="D9" s="113">
        <v>14</v>
      </c>
      <c r="E9" s="98">
        <v>35</v>
      </c>
      <c r="F9" s="98">
        <v>42</v>
      </c>
      <c r="G9" s="98">
        <v>94</v>
      </c>
      <c r="H9" s="98">
        <v>58</v>
      </c>
      <c r="I9" s="98">
        <v>55</v>
      </c>
      <c r="J9" s="98">
        <v>56</v>
      </c>
      <c r="K9" s="98">
        <v>70</v>
      </c>
      <c r="L9" s="98">
        <v>43</v>
      </c>
      <c r="M9" s="98">
        <v>32</v>
      </c>
      <c r="N9" s="98">
        <v>30</v>
      </c>
      <c r="P9">
        <f t="shared" si="0"/>
        <v>453</v>
      </c>
      <c r="Q9">
        <v>2</v>
      </c>
      <c r="R9" s="3"/>
    </row>
    <row r="10" spans="1:18" ht="20.25">
      <c r="A10" s="7">
        <v>8</v>
      </c>
      <c r="B10" s="11" t="s">
        <v>970</v>
      </c>
      <c r="C10" s="72" t="s">
        <v>971</v>
      </c>
      <c r="D10" s="113">
        <v>192</v>
      </c>
      <c r="E10" s="98">
        <v>40</v>
      </c>
      <c r="F10" s="98">
        <v>36</v>
      </c>
      <c r="G10" s="98">
        <v>68</v>
      </c>
      <c r="H10" s="98">
        <v>47</v>
      </c>
      <c r="I10" s="98">
        <v>44</v>
      </c>
      <c r="J10" s="98">
        <v>39</v>
      </c>
      <c r="K10" s="98">
        <v>41</v>
      </c>
      <c r="L10" s="98">
        <v>42</v>
      </c>
      <c r="M10" s="98">
        <v>35</v>
      </c>
      <c r="N10" s="98">
        <v>45</v>
      </c>
      <c r="P10">
        <f t="shared" si="0"/>
        <v>357</v>
      </c>
      <c r="Q10">
        <v>3</v>
      </c>
      <c r="R10" s="3"/>
    </row>
    <row r="11" spans="1:18" ht="20.25">
      <c r="A11" s="7">
        <v>9</v>
      </c>
      <c r="B11" s="11" t="s">
        <v>983</v>
      </c>
      <c r="C11" s="72" t="s">
        <v>984</v>
      </c>
      <c r="D11" s="113">
        <v>394</v>
      </c>
      <c r="E11" s="98">
        <v>40</v>
      </c>
      <c r="F11" s="98">
        <v>14</v>
      </c>
      <c r="G11" s="98">
        <v>66</v>
      </c>
      <c r="H11" s="98">
        <v>39</v>
      </c>
      <c r="I11" s="98">
        <v>44</v>
      </c>
      <c r="J11" s="98">
        <v>28</v>
      </c>
      <c r="K11" s="98">
        <v>62</v>
      </c>
      <c r="L11" s="98">
        <v>64</v>
      </c>
      <c r="M11" s="98">
        <v>30</v>
      </c>
      <c r="N11" s="98">
        <v>42</v>
      </c>
      <c r="P11">
        <f t="shared" si="0"/>
        <v>357</v>
      </c>
      <c r="Q11">
        <v>11</v>
      </c>
      <c r="R11" s="3"/>
    </row>
    <row r="12" spans="1:18" ht="20.25">
      <c r="A12" s="7">
        <v>10</v>
      </c>
      <c r="B12" s="11" t="s">
        <v>986</v>
      </c>
      <c r="C12" s="72" t="s">
        <v>987</v>
      </c>
      <c r="D12" s="113">
        <v>458</v>
      </c>
      <c r="E12" s="98">
        <v>35</v>
      </c>
      <c r="F12" s="98">
        <v>10</v>
      </c>
      <c r="G12" s="98">
        <v>76</v>
      </c>
      <c r="H12" s="98">
        <v>39</v>
      </c>
      <c r="I12" s="98">
        <v>33</v>
      </c>
      <c r="J12" s="98">
        <v>45</v>
      </c>
      <c r="K12" s="98">
        <v>61</v>
      </c>
      <c r="L12" s="98">
        <v>36</v>
      </c>
      <c r="M12" s="98">
        <v>36</v>
      </c>
      <c r="N12" s="98">
        <v>27</v>
      </c>
      <c r="P12">
        <f t="shared" si="0"/>
        <v>335</v>
      </c>
      <c r="Q12">
        <v>13</v>
      </c>
      <c r="R12" s="3"/>
    </row>
    <row r="13" spans="1:18" ht="20.25">
      <c r="A13" s="7">
        <v>11</v>
      </c>
      <c r="B13" s="11" t="s">
        <v>966</v>
      </c>
      <c r="C13" s="72" t="s">
        <v>967</v>
      </c>
      <c r="D13" s="113">
        <v>4</v>
      </c>
      <c r="E13" s="98">
        <v>35</v>
      </c>
      <c r="F13" s="98">
        <v>10</v>
      </c>
      <c r="G13" s="98">
        <v>59</v>
      </c>
      <c r="H13" s="98">
        <v>15</v>
      </c>
      <c r="I13" s="98">
        <v>19</v>
      </c>
      <c r="J13" s="98">
        <v>10</v>
      </c>
      <c r="K13" s="98">
        <v>63</v>
      </c>
      <c r="L13" s="98">
        <v>6</v>
      </c>
      <c r="M13" s="98">
        <v>14</v>
      </c>
      <c r="N13" s="98">
        <v>33</v>
      </c>
      <c r="P13">
        <f t="shared" si="0"/>
        <v>217</v>
      </c>
      <c r="Q13">
        <v>1</v>
      </c>
    </row>
    <row r="14" spans="1:18" ht="20.25">
      <c r="A14" s="7">
        <v>12</v>
      </c>
      <c r="B14" s="11" t="s">
        <v>972</v>
      </c>
      <c r="C14" s="72" t="s">
        <v>973</v>
      </c>
      <c r="D14" s="113">
        <v>206</v>
      </c>
      <c r="E14" s="98">
        <v>10</v>
      </c>
      <c r="F14" s="98">
        <v>10</v>
      </c>
      <c r="G14" s="98">
        <v>20</v>
      </c>
      <c r="H14" s="98">
        <v>35</v>
      </c>
      <c r="I14" s="98">
        <v>33</v>
      </c>
      <c r="J14" s="98">
        <v>20</v>
      </c>
      <c r="K14" s="98">
        <v>13</v>
      </c>
      <c r="L14" s="98">
        <v>50</v>
      </c>
      <c r="M14" s="98">
        <v>13</v>
      </c>
      <c r="N14" s="98">
        <v>17</v>
      </c>
      <c r="P14">
        <f t="shared" si="0"/>
        <v>191</v>
      </c>
      <c r="Q14">
        <v>4</v>
      </c>
    </row>
    <row r="15" spans="1:18" ht="20.25">
      <c r="A15" s="7">
        <v>13</v>
      </c>
      <c r="B15" s="11" t="s">
        <v>666</v>
      </c>
      <c r="C15" s="72" t="s">
        <v>973</v>
      </c>
      <c r="D15" s="113">
        <v>207</v>
      </c>
      <c r="E15" s="98">
        <v>35</v>
      </c>
      <c r="F15" s="98">
        <v>5</v>
      </c>
      <c r="G15" s="98">
        <v>35</v>
      </c>
      <c r="H15" s="98">
        <v>0</v>
      </c>
      <c r="I15" s="98">
        <v>12</v>
      </c>
      <c r="J15" s="98">
        <v>14</v>
      </c>
      <c r="K15" s="98">
        <v>13</v>
      </c>
      <c r="L15" s="98">
        <v>22</v>
      </c>
      <c r="M15" s="98">
        <v>15</v>
      </c>
      <c r="N15" s="98">
        <v>17</v>
      </c>
      <c r="P15">
        <f t="shared" si="0"/>
        <v>136</v>
      </c>
      <c r="Q15">
        <v>5</v>
      </c>
      <c r="R15" s="3"/>
    </row>
    <row r="16" spans="1:18" ht="20.25">
      <c r="A16" s="7">
        <v>14</v>
      </c>
      <c r="B16" s="130" t="s">
        <v>981</v>
      </c>
      <c r="C16" s="131" t="s">
        <v>982</v>
      </c>
      <c r="D16" s="135">
        <v>362</v>
      </c>
      <c r="E16" s="173">
        <v>45</v>
      </c>
      <c r="F16" s="173">
        <v>50</v>
      </c>
      <c r="G16" s="173">
        <v>49</v>
      </c>
      <c r="H16" s="173">
        <v>49</v>
      </c>
      <c r="I16" s="173">
        <v>50</v>
      </c>
      <c r="J16" s="173">
        <v>49</v>
      </c>
      <c r="K16" s="173">
        <v>49</v>
      </c>
      <c r="L16" s="173">
        <v>49</v>
      </c>
      <c r="M16" s="173">
        <v>48</v>
      </c>
      <c r="N16" s="173">
        <v>35</v>
      </c>
      <c r="Q16">
        <v>10</v>
      </c>
    </row>
    <row r="17" spans="1:17" ht="20.25">
      <c r="A17" s="7">
        <v>15</v>
      </c>
      <c r="B17" s="11" t="s">
        <v>990</v>
      </c>
      <c r="C17" s="72" t="s">
        <v>991</v>
      </c>
      <c r="D17" s="113">
        <v>484</v>
      </c>
      <c r="Q17">
        <v>15</v>
      </c>
    </row>
  </sheetData>
  <sortState ref="A1:P17">
    <sortCondition descending="1" ref="P3"/>
  </sortState>
  <conditionalFormatting sqref="E3:L17">
    <cfRule type="cellIs" dxfId="16" priority="2" operator="lessThan">
      <formula>35</formula>
    </cfRule>
  </conditionalFormatting>
  <conditionalFormatting sqref="M3:M17">
    <cfRule type="cellIs" dxfId="15" priority="1" operator="lessThan">
      <formula>25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31"/>
  <sheetViews>
    <sheetView workbookViewId="0">
      <selection activeCell="I5" sqref="I5"/>
    </sheetView>
  </sheetViews>
  <sheetFormatPr defaultRowHeight="15.75"/>
  <cols>
    <col min="2" max="2" width="14.375" customWidth="1"/>
    <col min="5" max="13" width="9" style="98"/>
  </cols>
  <sheetData>
    <row r="1" spans="1:17" ht="142.5">
      <c r="A1" t="s">
        <v>0</v>
      </c>
      <c r="B1" t="s">
        <v>1</v>
      </c>
      <c r="C1" t="s">
        <v>2</v>
      </c>
      <c r="D1" t="s">
        <v>3</v>
      </c>
      <c r="E1" s="121" t="s">
        <v>149</v>
      </c>
      <c r="F1" s="121" t="s">
        <v>1305</v>
      </c>
      <c r="G1" s="121" t="s">
        <v>38</v>
      </c>
      <c r="H1" s="121" t="s">
        <v>105</v>
      </c>
      <c r="I1" s="121" t="s">
        <v>82</v>
      </c>
      <c r="J1" s="121" t="s">
        <v>134</v>
      </c>
      <c r="K1" s="121" t="s">
        <v>148</v>
      </c>
      <c r="L1" s="121" t="s">
        <v>1289</v>
      </c>
      <c r="M1" s="121"/>
      <c r="O1" t="s">
        <v>0</v>
      </c>
    </row>
    <row r="2" spans="1:17" s="4" customFormat="1" hidden="1">
      <c r="E2" s="122" t="s">
        <v>291</v>
      </c>
      <c r="F2" s="122" t="s">
        <v>292</v>
      </c>
      <c r="G2" s="122" t="s">
        <v>293</v>
      </c>
      <c r="H2" s="122" t="s">
        <v>294</v>
      </c>
      <c r="I2" s="122" t="s">
        <v>295</v>
      </c>
      <c r="J2" s="122" t="s">
        <v>296</v>
      </c>
      <c r="K2" s="122" t="s">
        <v>297</v>
      </c>
      <c r="L2" s="122" t="s">
        <v>298</v>
      </c>
      <c r="M2" s="122"/>
    </row>
    <row r="3" spans="1:17" ht="20.25">
      <c r="A3" s="7">
        <v>1</v>
      </c>
      <c r="B3" s="11" t="s">
        <v>946</v>
      </c>
      <c r="C3" s="72" t="s">
        <v>947</v>
      </c>
      <c r="D3" s="113">
        <v>435</v>
      </c>
      <c r="E3" s="98">
        <v>97</v>
      </c>
      <c r="F3" s="98">
        <v>100</v>
      </c>
      <c r="G3" s="98">
        <v>97</v>
      </c>
      <c r="H3" s="98">
        <v>77</v>
      </c>
      <c r="I3" s="98">
        <v>83</v>
      </c>
      <c r="J3" s="98">
        <v>96</v>
      </c>
      <c r="K3" s="98">
        <v>80</v>
      </c>
      <c r="L3" s="98">
        <v>28</v>
      </c>
      <c r="N3">
        <f t="shared" ref="N3:N31" si="0">SUM(E3:J3)</f>
        <v>550</v>
      </c>
      <c r="O3">
        <v>20</v>
      </c>
    </row>
    <row r="4" spans="1:17" ht="20.25">
      <c r="A4" s="7">
        <v>2</v>
      </c>
      <c r="B4" s="11" t="s">
        <v>958</v>
      </c>
      <c r="C4" s="72" t="s">
        <v>959</v>
      </c>
      <c r="D4" s="113">
        <v>483</v>
      </c>
      <c r="E4" s="98">
        <v>74</v>
      </c>
      <c r="F4" s="98">
        <v>98</v>
      </c>
      <c r="G4" s="98">
        <v>87</v>
      </c>
      <c r="H4" s="98">
        <v>69</v>
      </c>
      <c r="I4" s="98">
        <v>78</v>
      </c>
      <c r="J4" s="98">
        <v>92</v>
      </c>
      <c r="K4" s="98">
        <v>90</v>
      </c>
      <c r="L4" s="98">
        <v>23</v>
      </c>
      <c r="N4">
        <f t="shared" si="0"/>
        <v>498</v>
      </c>
      <c r="O4">
        <v>26</v>
      </c>
    </row>
    <row r="5" spans="1:17" ht="20.25">
      <c r="A5" s="7">
        <v>3</v>
      </c>
      <c r="B5" s="11" t="s">
        <v>577</v>
      </c>
      <c r="C5" s="72" t="s">
        <v>925</v>
      </c>
      <c r="D5" s="113">
        <v>253</v>
      </c>
      <c r="E5" s="98">
        <v>72</v>
      </c>
      <c r="F5" s="98">
        <v>100</v>
      </c>
      <c r="G5" s="98">
        <v>93</v>
      </c>
      <c r="H5" s="98">
        <v>53</v>
      </c>
      <c r="I5" s="98">
        <v>79</v>
      </c>
      <c r="J5" s="98">
        <v>65</v>
      </c>
      <c r="K5" s="98">
        <v>80</v>
      </c>
      <c r="L5" s="98">
        <v>20</v>
      </c>
      <c r="N5">
        <f t="shared" si="0"/>
        <v>462</v>
      </c>
      <c r="O5">
        <v>8</v>
      </c>
      <c r="P5" s="3"/>
      <c r="Q5" s="3"/>
    </row>
    <row r="6" spans="1:17" ht="20.25">
      <c r="A6" s="7">
        <v>4</v>
      </c>
      <c r="B6" s="11" t="s">
        <v>934</v>
      </c>
      <c r="C6" s="72" t="s">
        <v>935</v>
      </c>
      <c r="D6" s="113">
        <v>367</v>
      </c>
      <c r="E6" s="98">
        <v>68</v>
      </c>
      <c r="F6" s="98">
        <v>98</v>
      </c>
      <c r="G6" s="98">
        <v>72</v>
      </c>
      <c r="H6" s="98">
        <v>57</v>
      </c>
      <c r="I6" s="98">
        <v>74</v>
      </c>
      <c r="J6" s="98">
        <v>89</v>
      </c>
      <c r="K6" s="98">
        <v>76</v>
      </c>
      <c r="L6" s="98">
        <v>17</v>
      </c>
      <c r="N6">
        <f t="shared" si="0"/>
        <v>458</v>
      </c>
      <c r="O6">
        <v>13</v>
      </c>
      <c r="P6" s="3"/>
      <c r="Q6" s="3"/>
    </row>
    <row r="7" spans="1:17" ht="20.25">
      <c r="A7" s="7">
        <v>5</v>
      </c>
      <c r="B7" s="11" t="s">
        <v>941</v>
      </c>
      <c r="C7" s="72" t="s">
        <v>942</v>
      </c>
      <c r="D7" s="113">
        <v>401</v>
      </c>
      <c r="E7" s="98">
        <v>53</v>
      </c>
      <c r="F7" s="98">
        <v>93</v>
      </c>
      <c r="G7" s="98">
        <v>78</v>
      </c>
      <c r="H7" s="98">
        <v>55</v>
      </c>
      <c r="I7" s="98">
        <v>85</v>
      </c>
      <c r="J7" s="98">
        <v>90</v>
      </c>
      <c r="K7" s="98">
        <v>68</v>
      </c>
      <c r="L7" s="98">
        <v>30</v>
      </c>
      <c r="N7">
        <f t="shared" si="0"/>
        <v>454</v>
      </c>
      <c r="O7">
        <v>17</v>
      </c>
      <c r="P7" s="3"/>
      <c r="Q7" s="3"/>
    </row>
    <row r="8" spans="1:17" ht="20.25">
      <c r="A8" s="7">
        <v>6</v>
      </c>
      <c r="B8" s="11" t="s">
        <v>939</v>
      </c>
      <c r="C8" s="72" t="s">
        <v>940</v>
      </c>
      <c r="D8" s="113">
        <v>395</v>
      </c>
      <c r="E8" s="98">
        <v>56</v>
      </c>
      <c r="F8" s="98">
        <v>97</v>
      </c>
      <c r="G8" s="98">
        <v>72</v>
      </c>
      <c r="H8" s="98">
        <v>35</v>
      </c>
      <c r="I8" s="98">
        <v>69</v>
      </c>
      <c r="J8" s="98">
        <v>88</v>
      </c>
      <c r="K8" s="98">
        <v>87</v>
      </c>
      <c r="L8" s="98">
        <v>25</v>
      </c>
      <c r="N8">
        <f t="shared" si="0"/>
        <v>417</v>
      </c>
      <c r="O8">
        <v>16</v>
      </c>
      <c r="P8" s="3"/>
      <c r="Q8" s="3"/>
    </row>
    <row r="9" spans="1:17" ht="20.25">
      <c r="A9" s="7">
        <v>7</v>
      </c>
      <c r="B9" s="11" t="s">
        <v>849</v>
      </c>
      <c r="C9" s="72" t="s">
        <v>920</v>
      </c>
      <c r="D9" s="113">
        <v>189</v>
      </c>
      <c r="E9" s="98">
        <v>70</v>
      </c>
      <c r="F9" s="98">
        <v>72</v>
      </c>
      <c r="G9" s="98">
        <v>86</v>
      </c>
      <c r="H9" s="98">
        <v>50</v>
      </c>
      <c r="I9" s="98">
        <v>65</v>
      </c>
      <c r="J9" s="98">
        <v>67</v>
      </c>
      <c r="K9" s="98">
        <v>88</v>
      </c>
      <c r="L9" s="98">
        <v>15</v>
      </c>
      <c r="N9">
        <f t="shared" si="0"/>
        <v>410</v>
      </c>
      <c r="O9">
        <v>5</v>
      </c>
      <c r="P9" s="3"/>
      <c r="Q9" s="3"/>
    </row>
    <row r="10" spans="1:17" ht="20.25">
      <c r="A10" s="7">
        <v>8</v>
      </c>
      <c r="B10" s="11" t="s">
        <v>950</v>
      </c>
      <c r="C10" s="72" t="s">
        <v>951</v>
      </c>
      <c r="D10" s="113">
        <v>447</v>
      </c>
      <c r="E10" s="98">
        <v>53</v>
      </c>
      <c r="F10" s="98">
        <v>91</v>
      </c>
      <c r="G10" s="98">
        <v>66</v>
      </c>
      <c r="H10" s="98">
        <v>47</v>
      </c>
      <c r="I10" s="98">
        <v>76</v>
      </c>
      <c r="J10" s="98">
        <v>73</v>
      </c>
      <c r="K10" s="98">
        <v>92</v>
      </c>
      <c r="L10" s="98">
        <v>22</v>
      </c>
      <c r="N10">
        <f t="shared" si="0"/>
        <v>406</v>
      </c>
      <c r="O10">
        <v>22</v>
      </c>
      <c r="P10" s="3"/>
      <c r="Q10" s="3"/>
    </row>
    <row r="11" spans="1:17" ht="20.25">
      <c r="A11" s="7">
        <v>9</v>
      </c>
      <c r="B11" s="11" t="s">
        <v>960</v>
      </c>
      <c r="C11" s="72" t="s">
        <v>961</v>
      </c>
      <c r="D11" s="113">
        <v>488</v>
      </c>
      <c r="E11" s="98">
        <v>54</v>
      </c>
      <c r="F11" s="98">
        <v>98</v>
      </c>
      <c r="G11" s="98">
        <v>58</v>
      </c>
      <c r="H11" s="98">
        <v>52</v>
      </c>
      <c r="I11" s="98">
        <v>58</v>
      </c>
      <c r="J11" s="98">
        <v>78</v>
      </c>
      <c r="K11" s="98">
        <v>70</v>
      </c>
      <c r="L11" s="98">
        <v>22</v>
      </c>
      <c r="N11">
        <f t="shared" si="0"/>
        <v>398</v>
      </c>
      <c r="O11">
        <v>27</v>
      </c>
      <c r="P11" s="3"/>
      <c r="Q11" s="3"/>
    </row>
    <row r="12" spans="1:17" ht="20.25">
      <c r="A12" s="7">
        <v>10</v>
      </c>
      <c r="B12" s="11" t="s">
        <v>962</v>
      </c>
      <c r="C12" s="72" t="s">
        <v>963</v>
      </c>
      <c r="D12" s="113">
        <v>507</v>
      </c>
      <c r="E12" s="98">
        <v>49</v>
      </c>
      <c r="F12" s="98">
        <v>83</v>
      </c>
      <c r="G12" s="98">
        <v>67</v>
      </c>
      <c r="H12" s="98">
        <v>45</v>
      </c>
      <c r="I12" s="98">
        <v>56</v>
      </c>
      <c r="J12" s="98">
        <v>98</v>
      </c>
      <c r="K12" s="98">
        <v>60</v>
      </c>
      <c r="L12" s="98">
        <v>24</v>
      </c>
      <c r="N12">
        <f t="shared" si="0"/>
        <v>398</v>
      </c>
      <c r="O12">
        <v>28</v>
      </c>
      <c r="P12" s="3"/>
      <c r="Q12" s="3"/>
    </row>
    <row r="13" spans="1:17" ht="20.25">
      <c r="A13" s="7">
        <v>11</v>
      </c>
      <c r="B13" s="11" t="s">
        <v>692</v>
      </c>
      <c r="C13" s="72" t="s">
        <v>943</v>
      </c>
      <c r="D13" s="113">
        <v>406</v>
      </c>
      <c r="E13" s="98">
        <v>50</v>
      </c>
      <c r="F13" s="98">
        <v>88</v>
      </c>
      <c r="G13" s="98">
        <v>54</v>
      </c>
      <c r="H13" s="98">
        <v>35</v>
      </c>
      <c r="I13" s="98">
        <v>57</v>
      </c>
      <c r="J13" s="98">
        <v>87</v>
      </c>
      <c r="K13" s="98">
        <v>62</v>
      </c>
      <c r="L13" s="98">
        <v>24</v>
      </c>
      <c r="N13">
        <f t="shared" si="0"/>
        <v>371</v>
      </c>
      <c r="O13">
        <v>18</v>
      </c>
    </row>
    <row r="14" spans="1:17" ht="20.25">
      <c r="A14" s="7">
        <v>12</v>
      </c>
      <c r="B14" s="11" t="s">
        <v>956</v>
      </c>
      <c r="C14" s="72" t="s">
        <v>957</v>
      </c>
      <c r="D14" s="113">
        <v>479</v>
      </c>
      <c r="E14" s="98">
        <v>49</v>
      </c>
      <c r="F14" s="98">
        <v>75</v>
      </c>
      <c r="G14" s="98">
        <v>57</v>
      </c>
      <c r="H14" s="98">
        <v>36</v>
      </c>
      <c r="I14" s="98">
        <v>74</v>
      </c>
      <c r="J14" s="98">
        <v>62</v>
      </c>
      <c r="K14" s="98">
        <v>89</v>
      </c>
      <c r="L14" s="98">
        <v>22</v>
      </c>
      <c r="N14">
        <f t="shared" si="0"/>
        <v>353</v>
      </c>
      <c r="O14">
        <v>25</v>
      </c>
    </row>
    <row r="15" spans="1:17" ht="20.25">
      <c r="A15" s="7">
        <v>13</v>
      </c>
      <c r="B15" s="77" t="s">
        <v>923</v>
      </c>
      <c r="C15" s="72" t="s">
        <v>924</v>
      </c>
      <c r="D15" s="113">
        <v>210</v>
      </c>
      <c r="E15" s="98">
        <v>35</v>
      </c>
      <c r="F15" s="98">
        <v>86</v>
      </c>
      <c r="G15" s="98">
        <v>51</v>
      </c>
      <c r="H15" s="98">
        <v>44</v>
      </c>
      <c r="I15" s="98">
        <v>36</v>
      </c>
      <c r="J15" s="98">
        <v>76</v>
      </c>
      <c r="K15" s="98">
        <v>65</v>
      </c>
      <c r="L15" s="98">
        <v>26</v>
      </c>
      <c r="N15">
        <f>SUM(E15:J15)</f>
        <v>328</v>
      </c>
      <c r="O15">
        <v>7</v>
      </c>
    </row>
    <row r="16" spans="1:17" ht="20.25">
      <c r="A16" s="7">
        <v>14</v>
      </c>
      <c r="B16" s="77" t="s">
        <v>926</v>
      </c>
      <c r="C16" s="72" t="s">
        <v>927</v>
      </c>
      <c r="D16" s="113">
        <v>277</v>
      </c>
      <c r="E16" s="98">
        <v>45</v>
      </c>
      <c r="F16" s="98">
        <v>64</v>
      </c>
      <c r="G16" s="98">
        <v>63</v>
      </c>
      <c r="H16" s="98">
        <v>35</v>
      </c>
      <c r="I16" s="98">
        <v>49</v>
      </c>
      <c r="J16" s="98">
        <v>70</v>
      </c>
      <c r="K16" s="98">
        <v>90</v>
      </c>
      <c r="L16" s="98">
        <v>22</v>
      </c>
      <c r="N16">
        <f>SUM(E16:J16)</f>
        <v>326</v>
      </c>
      <c r="O16">
        <v>9</v>
      </c>
    </row>
    <row r="17" spans="1:15" ht="20.25">
      <c r="A17" s="7">
        <v>15</v>
      </c>
      <c r="B17" s="11" t="s">
        <v>944</v>
      </c>
      <c r="C17" s="72" t="s">
        <v>945</v>
      </c>
      <c r="D17" s="113">
        <v>413</v>
      </c>
      <c r="E17" s="98">
        <v>35</v>
      </c>
      <c r="F17" s="98">
        <v>53</v>
      </c>
      <c r="G17" s="98">
        <v>58</v>
      </c>
      <c r="H17" s="98">
        <v>36</v>
      </c>
      <c r="I17" s="98">
        <v>38</v>
      </c>
      <c r="J17" s="98">
        <v>77</v>
      </c>
      <c r="K17" s="98">
        <v>53</v>
      </c>
      <c r="L17" s="98">
        <v>24</v>
      </c>
      <c r="N17">
        <f>SUM(E17:J17)</f>
        <v>297</v>
      </c>
      <c r="O17">
        <v>19</v>
      </c>
    </row>
    <row r="18" spans="1:15" ht="20.25">
      <c r="A18" s="7">
        <v>16</v>
      </c>
      <c r="B18" s="11" t="s">
        <v>930</v>
      </c>
      <c r="C18" s="72" t="s">
        <v>931</v>
      </c>
      <c r="D18" s="113">
        <v>310</v>
      </c>
      <c r="E18" s="98">
        <v>51</v>
      </c>
      <c r="F18" s="98">
        <v>87</v>
      </c>
      <c r="G18" s="98">
        <v>53</v>
      </c>
      <c r="H18" s="98">
        <v>51</v>
      </c>
      <c r="I18" s="98">
        <v>53</v>
      </c>
      <c r="J18" s="98">
        <v>12</v>
      </c>
      <c r="K18" s="98">
        <v>59</v>
      </c>
      <c r="L18" s="98">
        <v>23</v>
      </c>
      <c r="N18">
        <f t="shared" si="0"/>
        <v>307</v>
      </c>
      <c r="O18">
        <v>11</v>
      </c>
    </row>
    <row r="19" spans="1:15" ht="20.25">
      <c r="A19" s="7">
        <v>17</v>
      </c>
      <c r="B19" s="11" t="s">
        <v>954</v>
      </c>
      <c r="C19" s="72" t="s">
        <v>955</v>
      </c>
      <c r="D19" s="113">
        <v>470</v>
      </c>
      <c r="E19" s="98">
        <v>39</v>
      </c>
      <c r="F19" s="98">
        <v>68</v>
      </c>
      <c r="G19" s="98">
        <v>54</v>
      </c>
      <c r="H19" s="98">
        <v>37</v>
      </c>
      <c r="I19" s="98">
        <v>46</v>
      </c>
      <c r="J19" s="98">
        <v>12</v>
      </c>
      <c r="K19" s="98">
        <v>79</v>
      </c>
      <c r="L19" s="98">
        <v>20</v>
      </c>
      <c r="N19">
        <f>SUM(E19:J19)</f>
        <v>256</v>
      </c>
      <c r="O19">
        <v>24</v>
      </c>
    </row>
    <row r="20" spans="1:15" ht="20.25">
      <c r="A20" s="7">
        <v>18</v>
      </c>
      <c r="B20" s="11" t="s">
        <v>964</v>
      </c>
      <c r="C20" s="72" t="s">
        <v>965</v>
      </c>
      <c r="D20" s="113">
        <v>508</v>
      </c>
      <c r="E20" s="98">
        <v>50</v>
      </c>
      <c r="F20" s="98">
        <v>67</v>
      </c>
      <c r="G20" s="98">
        <v>29</v>
      </c>
      <c r="H20" s="98">
        <v>7</v>
      </c>
      <c r="I20" s="98">
        <v>47</v>
      </c>
      <c r="J20" s="98">
        <v>67</v>
      </c>
      <c r="K20" s="98">
        <v>80</v>
      </c>
      <c r="L20" s="98">
        <v>22</v>
      </c>
      <c r="N20">
        <f t="shared" si="0"/>
        <v>267</v>
      </c>
      <c r="O20">
        <v>29</v>
      </c>
    </row>
    <row r="21" spans="1:15" ht="20.25">
      <c r="A21" s="7">
        <v>19</v>
      </c>
      <c r="B21" s="11" t="s">
        <v>948</v>
      </c>
      <c r="C21" s="72" t="s">
        <v>949</v>
      </c>
      <c r="D21" s="113">
        <v>443</v>
      </c>
      <c r="E21" s="98">
        <v>29</v>
      </c>
      <c r="F21" s="98">
        <v>47</v>
      </c>
      <c r="G21" s="98">
        <v>30</v>
      </c>
      <c r="H21" s="98">
        <v>35</v>
      </c>
      <c r="I21" s="98">
        <v>37</v>
      </c>
      <c r="J21" s="98">
        <v>73</v>
      </c>
      <c r="K21" s="98">
        <v>58</v>
      </c>
      <c r="L21" s="98">
        <v>10</v>
      </c>
      <c r="N21">
        <f>SUM(E21:J21)</f>
        <v>251</v>
      </c>
      <c r="O21">
        <v>21</v>
      </c>
    </row>
    <row r="22" spans="1:15" ht="20.25">
      <c r="A22" s="7">
        <v>20</v>
      </c>
      <c r="B22" s="11" t="s">
        <v>952</v>
      </c>
      <c r="C22" s="72" t="s">
        <v>953</v>
      </c>
      <c r="D22" s="113">
        <v>454</v>
      </c>
      <c r="E22" s="98">
        <v>24</v>
      </c>
      <c r="F22" s="98">
        <v>68</v>
      </c>
      <c r="G22" s="98">
        <v>37</v>
      </c>
      <c r="H22" s="98">
        <v>20</v>
      </c>
      <c r="I22" s="98">
        <v>43</v>
      </c>
      <c r="J22" s="98">
        <v>54</v>
      </c>
      <c r="K22" s="98">
        <v>54</v>
      </c>
      <c r="L22" s="98">
        <v>22</v>
      </c>
      <c r="N22">
        <f>SUM(E22:J22)</f>
        <v>246</v>
      </c>
      <c r="O22">
        <v>23</v>
      </c>
    </row>
    <row r="23" spans="1:15" ht="20.25">
      <c r="A23" s="7">
        <v>21</v>
      </c>
      <c r="B23" s="11" t="s">
        <v>913</v>
      </c>
      <c r="C23" s="72" t="s">
        <v>914</v>
      </c>
      <c r="D23" s="113">
        <v>70</v>
      </c>
      <c r="E23" s="98">
        <v>57</v>
      </c>
      <c r="F23" s="98">
        <v>87</v>
      </c>
      <c r="G23" s="98">
        <v>76</v>
      </c>
      <c r="H23" s="98">
        <v>61</v>
      </c>
      <c r="I23" s="98">
        <v>61</v>
      </c>
      <c r="J23" s="98">
        <v>54</v>
      </c>
      <c r="K23" s="98">
        <v>45</v>
      </c>
      <c r="L23" s="98">
        <v>25</v>
      </c>
      <c r="N23">
        <f>SUM(E23:J23)</f>
        <v>396</v>
      </c>
      <c r="O23">
        <v>1</v>
      </c>
    </row>
    <row r="24" spans="1:15" ht="20.25">
      <c r="A24" s="7">
        <v>22</v>
      </c>
      <c r="B24" s="11" t="s">
        <v>928</v>
      </c>
      <c r="C24" s="72" t="s">
        <v>929</v>
      </c>
      <c r="D24" s="113">
        <v>300</v>
      </c>
      <c r="E24" s="98">
        <v>46</v>
      </c>
      <c r="F24" s="98">
        <v>91</v>
      </c>
      <c r="G24" s="98">
        <v>74</v>
      </c>
      <c r="H24" s="98">
        <v>42</v>
      </c>
      <c r="I24" s="98">
        <v>46</v>
      </c>
      <c r="J24" s="98">
        <v>33</v>
      </c>
      <c r="K24" s="98">
        <v>45</v>
      </c>
      <c r="L24" s="98">
        <v>17</v>
      </c>
      <c r="N24">
        <f>SUM(E24:J24)</f>
        <v>332</v>
      </c>
      <c r="O24">
        <v>10</v>
      </c>
    </row>
    <row r="25" spans="1:15" ht="20.25">
      <c r="A25" s="7">
        <v>23</v>
      </c>
      <c r="B25" s="11" t="s">
        <v>932</v>
      </c>
      <c r="C25" s="72" t="s">
        <v>933</v>
      </c>
      <c r="D25" s="113">
        <v>321</v>
      </c>
      <c r="E25" s="98">
        <v>52</v>
      </c>
      <c r="F25" s="98">
        <v>84</v>
      </c>
      <c r="G25" s="98">
        <v>19</v>
      </c>
      <c r="H25" s="98">
        <v>18</v>
      </c>
      <c r="I25" s="98">
        <v>57</v>
      </c>
      <c r="J25" s="98">
        <v>34</v>
      </c>
      <c r="K25" s="98">
        <v>77</v>
      </c>
      <c r="L25" s="98">
        <v>23</v>
      </c>
      <c r="N25">
        <f t="shared" si="0"/>
        <v>264</v>
      </c>
      <c r="O25">
        <v>12</v>
      </c>
    </row>
    <row r="26" spans="1:15" ht="20.25">
      <c r="A26" s="7">
        <v>24</v>
      </c>
      <c r="B26" s="11" t="s">
        <v>936</v>
      </c>
      <c r="C26" s="72" t="s">
        <v>937</v>
      </c>
      <c r="D26" s="113">
        <v>381</v>
      </c>
      <c r="E26" s="98">
        <v>11</v>
      </c>
      <c r="F26" s="98">
        <v>74</v>
      </c>
      <c r="G26" s="98">
        <v>39</v>
      </c>
      <c r="H26" s="98">
        <v>20</v>
      </c>
      <c r="I26" s="98">
        <v>52</v>
      </c>
      <c r="J26" s="98">
        <v>0</v>
      </c>
      <c r="K26" s="98">
        <v>50</v>
      </c>
      <c r="L26" s="98">
        <v>27</v>
      </c>
      <c r="N26">
        <f>SUM(E26:J26)</f>
        <v>196</v>
      </c>
      <c r="O26">
        <v>14</v>
      </c>
    </row>
    <row r="27" spans="1:15" ht="20.25">
      <c r="A27" s="7">
        <v>25</v>
      </c>
      <c r="B27" s="11" t="s">
        <v>841</v>
      </c>
      <c r="C27" s="72" t="s">
        <v>919</v>
      </c>
      <c r="D27" s="113">
        <v>188</v>
      </c>
      <c r="E27" s="98">
        <v>13</v>
      </c>
      <c r="F27" s="98">
        <v>71</v>
      </c>
      <c r="G27" s="98">
        <v>10</v>
      </c>
      <c r="H27" s="98">
        <v>35</v>
      </c>
      <c r="I27" s="98">
        <v>42</v>
      </c>
      <c r="J27" s="98">
        <v>22</v>
      </c>
      <c r="K27" s="98">
        <v>60</v>
      </c>
      <c r="L27" s="98">
        <v>22</v>
      </c>
      <c r="N27">
        <f>SUM(E27:J27)</f>
        <v>193</v>
      </c>
      <c r="O27">
        <v>4</v>
      </c>
    </row>
    <row r="28" spans="1:15" ht="20.25">
      <c r="A28" s="7">
        <v>26</v>
      </c>
      <c r="B28" s="11" t="s">
        <v>1316</v>
      </c>
      <c r="C28" s="72" t="s">
        <v>938</v>
      </c>
      <c r="D28" s="113">
        <v>382</v>
      </c>
      <c r="E28" s="98">
        <v>24</v>
      </c>
      <c r="F28" s="98">
        <v>64</v>
      </c>
      <c r="G28" s="98">
        <v>21</v>
      </c>
      <c r="H28" s="98">
        <v>26</v>
      </c>
      <c r="I28" s="98">
        <v>60</v>
      </c>
      <c r="J28" s="98">
        <v>31</v>
      </c>
      <c r="K28" s="98">
        <v>57</v>
      </c>
      <c r="L28" s="98">
        <v>19</v>
      </c>
      <c r="N28">
        <f t="shared" si="0"/>
        <v>226</v>
      </c>
      <c r="O28">
        <v>15</v>
      </c>
    </row>
    <row r="29" spans="1:15" ht="20.25">
      <c r="A29" s="7">
        <v>27</v>
      </c>
      <c r="B29" s="11" t="s">
        <v>917</v>
      </c>
      <c r="C29" s="72" t="s">
        <v>918</v>
      </c>
      <c r="D29" s="113">
        <v>186</v>
      </c>
      <c r="E29" s="98">
        <v>28</v>
      </c>
      <c r="F29" s="98">
        <v>43</v>
      </c>
      <c r="G29" s="98">
        <v>22</v>
      </c>
      <c r="H29" s="98">
        <v>17</v>
      </c>
      <c r="I29" s="98">
        <v>10</v>
      </c>
      <c r="J29" s="98">
        <v>48</v>
      </c>
      <c r="K29" s="98">
        <v>58</v>
      </c>
      <c r="L29" s="98">
        <v>19</v>
      </c>
      <c r="N29">
        <f t="shared" si="0"/>
        <v>168</v>
      </c>
      <c r="O29">
        <v>3</v>
      </c>
    </row>
    <row r="30" spans="1:15" ht="20.25">
      <c r="A30" s="7">
        <v>28</v>
      </c>
      <c r="B30" s="11" t="s">
        <v>921</v>
      </c>
      <c r="C30" s="72" t="s">
        <v>922</v>
      </c>
      <c r="D30" s="113">
        <v>194</v>
      </c>
      <c r="E30" s="98">
        <v>21</v>
      </c>
      <c r="F30" s="98">
        <v>42</v>
      </c>
      <c r="G30" s="98">
        <v>19</v>
      </c>
      <c r="H30" s="98">
        <v>9</v>
      </c>
      <c r="I30" s="98">
        <v>20</v>
      </c>
      <c r="J30" s="98">
        <v>0</v>
      </c>
      <c r="K30" s="98">
        <v>80</v>
      </c>
      <c r="L30" s="98">
        <v>20</v>
      </c>
      <c r="N30">
        <f t="shared" si="0"/>
        <v>111</v>
      </c>
      <c r="O30">
        <v>6</v>
      </c>
    </row>
    <row r="31" spans="1:15" ht="20.25">
      <c r="A31" s="7">
        <v>29</v>
      </c>
      <c r="B31" s="11" t="s">
        <v>915</v>
      </c>
      <c r="C31" s="72" t="s">
        <v>916</v>
      </c>
      <c r="D31" s="113">
        <v>174</v>
      </c>
      <c r="E31" s="98">
        <v>25</v>
      </c>
      <c r="F31" s="98">
        <v>67</v>
      </c>
      <c r="G31" s="98">
        <v>33</v>
      </c>
      <c r="H31" s="98">
        <v>26</v>
      </c>
      <c r="I31" s="98" t="s">
        <v>1231</v>
      </c>
      <c r="J31" s="98">
        <v>21</v>
      </c>
      <c r="K31" s="98">
        <v>64</v>
      </c>
      <c r="L31" s="98">
        <v>23</v>
      </c>
      <c r="N31">
        <f t="shared" si="0"/>
        <v>172</v>
      </c>
      <c r="O31">
        <v>2</v>
      </c>
    </row>
  </sheetData>
  <sortState ref="A3:O31">
    <sortCondition descending="1" ref="N3"/>
  </sortState>
  <conditionalFormatting sqref="E3:K31">
    <cfRule type="cellIs" dxfId="14" priority="2" operator="lessThan">
      <formula>35</formula>
    </cfRule>
  </conditionalFormatting>
  <conditionalFormatting sqref="K3:K31">
    <cfRule type="cellIs" dxfId="13" priority="1" operator="lessThan">
      <formula>50</formula>
    </cfRule>
  </conditionalFormatting>
  <pageMargins left="0.7" right="0.7" top="0.75" bottom="0.75" header="0.3" footer="0.3"/>
  <ignoredErrors>
    <ignoredError sqref="D1 A1:C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19"/>
  <sheetViews>
    <sheetView workbookViewId="0">
      <selection activeCell="J22" sqref="J22"/>
    </sheetView>
  </sheetViews>
  <sheetFormatPr defaultRowHeight="15.75"/>
  <cols>
    <col min="2" max="2" width="16.25" customWidth="1"/>
    <col min="3" max="3" width="14.5" customWidth="1"/>
    <col min="5" max="15" width="9" style="98"/>
  </cols>
  <sheetData>
    <row r="1" spans="1:17" ht="152.25">
      <c r="A1" t="s">
        <v>0</v>
      </c>
      <c r="B1" t="s">
        <v>1</v>
      </c>
      <c r="C1" t="s">
        <v>2</v>
      </c>
      <c r="D1" t="s">
        <v>3</v>
      </c>
      <c r="E1" s="121" t="s">
        <v>314</v>
      </c>
      <c r="F1" s="121" t="s">
        <v>162</v>
      </c>
      <c r="G1" s="121" t="s">
        <v>150</v>
      </c>
      <c r="H1" s="121" t="s">
        <v>101</v>
      </c>
      <c r="I1" s="121" t="s">
        <v>167</v>
      </c>
      <c r="J1" s="121" t="s">
        <v>151</v>
      </c>
      <c r="K1" s="121" t="s">
        <v>135</v>
      </c>
      <c r="L1" s="121" t="s">
        <v>152</v>
      </c>
      <c r="M1" s="121" t="s">
        <v>1289</v>
      </c>
      <c r="N1" s="121"/>
      <c r="P1" t="s">
        <v>0</v>
      </c>
    </row>
    <row r="2" spans="1:17" s="4" customFormat="1" hidden="1">
      <c r="E2" s="122" t="s">
        <v>300</v>
      </c>
      <c r="F2" s="122" t="s">
        <v>299</v>
      </c>
      <c r="G2" s="122" t="s">
        <v>302</v>
      </c>
      <c r="H2" s="122" t="s">
        <v>301</v>
      </c>
      <c r="I2" s="122" t="s">
        <v>303</v>
      </c>
      <c r="J2" s="122" t="s">
        <v>304</v>
      </c>
      <c r="K2" s="122" t="s">
        <v>305</v>
      </c>
      <c r="L2" s="122" t="s">
        <v>306</v>
      </c>
      <c r="M2" s="122" t="s">
        <v>307</v>
      </c>
      <c r="N2" s="122"/>
      <c r="O2" s="122"/>
    </row>
    <row r="3" spans="1:17" ht="20.25">
      <c r="A3" s="7">
        <v>1</v>
      </c>
      <c r="B3" s="11" t="s">
        <v>887</v>
      </c>
      <c r="C3" s="72" t="s">
        <v>888</v>
      </c>
      <c r="D3" s="113">
        <v>220</v>
      </c>
      <c r="E3" s="98">
        <v>80</v>
      </c>
      <c r="F3" s="98">
        <v>89</v>
      </c>
      <c r="G3" s="98">
        <v>90</v>
      </c>
      <c r="H3" s="98">
        <v>78</v>
      </c>
      <c r="I3" s="98">
        <v>39</v>
      </c>
      <c r="J3" s="98">
        <v>64</v>
      </c>
      <c r="K3" s="98">
        <v>64</v>
      </c>
      <c r="L3" s="98">
        <v>50</v>
      </c>
      <c r="M3" s="98">
        <v>20</v>
      </c>
      <c r="O3" s="98">
        <f>SUM(E3:L3)</f>
        <v>554</v>
      </c>
      <c r="P3">
        <v>4</v>
      </c>
      <c r="Q3" s="3"/>
    </row>
    <row r="4" spans="1:17" ht="20.25">
      <c r="A4" s="7">
        <v>2</v>
      </c>
      <c r="B4" s="11" t="s">
        <v>885</v>
      </c>
      <c r="C4" s="72" t="s">
        <v>886</v>
      </c>
      <c r="D4" s="113">
        <v>227</v>
      </c>
      <c r="E4" s="98">
        <v>78</v>
      </c>
      <c r="F4" s="98">
        <v>81</v>
      </c>
      <c r="G4" s="98">
        <v>93</v>
      </c>
      <c r="H4" s="98">
        <v>88</v>
      </c>
      <c r="I4" s="98">
        <v>70</v>
      </c>
      <c r="J4" s="98">
        <v>72</v>
      </c>
      <c r="K4" s="98">
        <v>88</v>
      </c>
      <c r="L4" s="98">
        <v>66</v>
      </c>
      <c r="M4" s="98">
        <v>24</v>
      </c>
      <c r="O4" s="98">
        <f t="shared" ref="O4:O19" si="0">SUM(E4:L4)</f>
        <v>636</v>
      </c>
      <c r="P4">
        <v>3</v>
      </c>
    </row>
    <row r="5" spans="1:17" ht="20.25">
      <c r="A5" s="7">
        <v>3</v>
      </c>
      <c r="B5" s="11" t="s">
        <v>883</v>
      </c>
      <c r="C5" s="72" t="s">
        <v>884</v>
      </c>
      <c r="D5" s="113">
        <v>73</v>
      </c>
      <c r="E5" s="98">
        <v>72</v>
      </c>
      <c r="F5" s="98">
        <v>51</v>
      </c>
      <c r="G5" s="98">
        <v>64</v>
      </c>
      <c r="H5" s="98">
        <v>74</v>
      </c>
      <c r="I5" s="98">
        <v>63</v>
      </c>
      <c r="J5" s="98">
        <v>96</v>
      </c>
      <c r="K5" s="98">
        <v>100</v>
      </c>
      <c r="L5" s="98">
        <v>66</v>
      </c>
      <c r="M5" s="98">
        <v>16</v>
      </c>
      <c r="O5" s="98">
        <f t="shared" si="0"/>
        <v>586</v>
      </c>
      <c r="P5">
        <v>2</v>
      </c>
      <c r="Q5" s="3"/>
    </row>
    <row r="6" spans="1:17" ht="20.25">
      <c r="A6" s="7">
        <v>4</v>
      </c>
      <c r="B6" s="11" t="s">
        <v>895</v>
      </c>
      <c r="C6" s="72" t="s">
        <v>896</v>
      </c>
      <c r="D6" s="113">
        <v>428</v>
      </c>
      <c r="E6" s="98">
        <v>70</v>
      </c>
      <c r="F6" s="98">
        <v>69</v>
      </c>
      <c r="G6" s="98">
        <v>68</v>
      </c>
      <c r="H6" s="98">
        <v>60</v>
      </c>
      <c r="I6" s="98">
        <v>47</v>
      </c>
      <c r="J6" s="98">
        <v>76</v>
      </c>
      <c r="K6" s="98">
        <v>100</v>
      </c>
      <c r="L6" s="98">
        <v>61</v>
      </c>
      <c r="M6" s="98">
        <v>13</v>
      </c>
      <c r="O6" s="98">
        <f t="shared" si="0"/>
        <v>551</v>
      </c>
      <c r="P6">
        <v>8</v>
      </c>
      <c r="Q6" s="3"/>
    </row>
    <row r="7" spans="1:17" ht="20.25">
      <c r="A7" s="7">
        <v>5</v>
      </c>
      <c r="B7" s="11" t="s">
        <v>889</v>
      </c>
      <c r="C7" s="72" t="s">
        <v>890</v>
      </c>
      <c r="D7" s="113">
        <v>293</v>
      </c>
      <c r="E7" s="98">
        <v>50</v>
      </c>
      <c r="F7" s="98">
        <v>54</v>
      </c>
      <c r="G7" s="98">
        <v>81</v>
      </c>
      <c r="H7" s="98">
        <v>64</v>
      </c>
      <c r="I7" s="98">
        <v>53</v>
      </c>
      <c r="J7" s="98">
        <v>76</v>
      </c>
      <c r="K7" s="98">
        <v>68</v>
      </c>
      <c r="L7" s="98">
        <v>66</v>
      </c>
      <c r="M7" s="98">
        <v>17</v>
      </c>
      <c r="O7" s="98">
        <f t="shared" si="0"/>
        <v>512</v>
      </c>
      <c r="P7">
        <v>5</v>
      </c>
      <c r="Q7" s="3"/>
    </row>
    <row r="8" spans="1:17" ht="20.25">
      <c r="A8" s="7">
        <v>6</v>
      </c>
      <c r="B8" s="11" t="s">
        <v>881</v>
      </c>
      <c r="C8" s="72" t="s">
        <v>882</v>
      </c>
      <c r="D8" s="113">
        <v>357</v>
      </c>
      <c r="E8" s="98">
        <v>85</v>
      </c>
      <c r="F8" s="98">
        <v>75</v>
      </c>
      <c r="G8" s="98">
        <v>85</v>
      </c>
      <c r="H8" s="98">
        <v>78</v>
      </c>
      <c r="I8" s="98">
        <v>36</v>
      </c>
      <c r="J8" s="98">
        <v>37</v>
      </c>
      <c r="K8" s="98">
        <v>45</v>
      </c>
      <c r="L8" s="98">
        <v>43</v>
      </c>
      <c r="M8" s="98">
        <v>23</v>
      </c>
      <c r="O8" s="98">
        <f t="shared" si="0"/>
        <v>484</v>
      </c>
      <c r="P8">
        <v>1</v>
      </c>
      <c r="Q8" s="3"/>
    </row>
    <row r="9" spans="1:17" ht="20.25">
      <c r="A9" s="7">
        <v>7</v>
      </c>
      <c r="B9" s="11" t="s">
        <v>905</v>
      </c>
      <c r="C9" s="72" t="s">
        <v>906</v>
      </c>
      <c r="D9" s="113">
        <v>348</v>
      </c>
      <c r="E9" s="98">
        <v>70</v>
      </c>
      <c r="F9" s="98">
        <v>38</v>
      </c>
      <c r="G9" s="98">
        <v>81</v>
      </c>
      <c r="H9" s="98">
        <v>62</v>
      </c>
      <c r="I9" s="98">
        <v>36</v>
      </c>
      <c r="J9" s="98">
        <v>71</v>
      </c>
      <c r="K9" s="98">
        <v>39</v>
      </c>
      <c r="L9" s="98">
        <v>53</v>
      </c>
      <c r="M9" s="98">
        <v>10</v>
      </c>
      <c r="O9" s="98">
        <f t="shared" si="0"/>
        <v>450</v>
      </c>
      <c r="P9">
        <v>14</v>
      </c>
      <c r="Q9" s="3"/>
    </row>
    <row r="10" spans="1:17" ht="20.25">
      <c r="A10" s="7">
        <v>8</v>
      </c>
      <c r="B10" s="11" t="s">
        <v>891</v>
      </c>
      <c r="C10" s="72" t="s">
        <v>892</v>
      </c>
      <c r="D10" s="113">
        <v>380</v>
      </c>
      <c r="E10" s="98">
        <v>80</v>
      </c>
      <c r="F10" s="98">
        <v>69</v>
      </c>
      <c r="G10" s="98">
        <v>81</v>
      </c>
      <c r="H10" s="98">
        <v>72</v>
      </c>
      <c r="I10" s="98">
        <v>21</v>
      </c>
      <c r="J10" s="98">
        <v>60</v>
      </c>
      <c r="K10" s="98">
        <v>71</v>
      </c>
      <c r="L10" s="98">
        <v>38</v>
      </c>
      <c r="M10" s="98">
        <v>18</v>
      </c>
      <c r="O10" s="98">
        <f t="shared" si="0"/>
        <v>492</v>
      </c>
      <c r="P10">
        <v>6</v>
      </c>
      <c r="Q10" s="3"/>
    </row>
    <row r="11" spans="1:17" ht="20.25">
      <c r="A11" s="7">
        <v>9</v>
      </c>
      <c r="B11" s="11" t="s">
        <v>893</v>
      </c>
      <c r="C11" s="72" t="s">
        <v>894</v>
      </c>
      <c r="D11" s="113">
        <v>93</v>
      </c>
      <c r="E11" s="98">
        <v>70</v>
      </c>
      <c r="F11" s="98">
        <v>46</v>
      </c>
      <c r="G11" s="98">
        <v>67</v>
      </c>
      <c r="H11" s="98">
        <v>50</v>
      </c>
      <c r="I11" s="98">
        <v>45</v>
      </c>
      <c r="J11" s="98">
        <v>79</v>
      </c>
      <c r="K11" s="98">
        <v>29</v>
      </c>
      <c r="L11" s="98">
        <v>35</v>
      </c>
      <c r="M11" s="98">
        <v>15</v>
      </c>
      <c r="O11" s="98">
        <f t="shared" si="0"/>
        <v>421</v>
      </c>
      <c r="P11">
        <v>7</v>
      </c>
      <c r="Q11" s="3"/>
    </row>
    <row r="12" spans="1:17" ht="20.25">
      <c r="A12" s="7">
        <v>10</v>
      </c>
      <c r="B12" s="77" t="s">
        <v>911</v>
      </c>
      <c r="C12" s="78" t="s">
        <v>912</v>
      </c>
      <c r="D12" s="114">
        <v>485</v>
      </c>
      <c r="E12" s="98">
        <v>75</v>
      </c>
      <c r="F12" s="98">
        <v>54</v>
      </c>
      <c r="G12" s="98">
        <v>53</v>
      </c>
      <c r="H12" s="98">
        <v>56</v>
      </c>
      <c r="I12" s="98">
        <v>39</v>
      </c>
      <c r="J12" s="98">
        <v>47</v>
      </c>
      <c r="K12" s="98">
        <v>28</v>
      </c>
      <c r="L12" s="98">
        <v>53</v>
      </c>
      <c r="M12" s="98">
        <v>13</v>
      </c>
      <c r="O12" s="98">
        <f t="shared" si="0"/>
        <v>405</v>
      </c>
      <c r="P12">
        <v>17</v>
      </c>
    </row>
    <row r="13" spans="1:17" ht="20.25">
      <c r="A13" s="7">
        <v>11</v>
      </c>
      <c r="B13" s="11" t="s">
        <v>902</v>
      </c>
      <c r="C13" s="72" t="s">
        <v>903</v>
      </c>
      <c r="D13" s="113">
        <v>327</v>
      </c>
      <c r="E13" s="98">
        <v>65</v>
      </c>
      <c r="F13" s="98">
        <v>48</v>
      </c>
      <c r="G13" s="98">
        <v>60</v>
      </c>
      <c r="H13" s="98">
        <v>53</v>
      </c>
      <c r="I13" s="98">
        <v>42</v>
      </c>
      <c r="J13" s="98">
        <v>55</v>
      </c>
      <c r="K13" s="98">
        <v>29</v>
      </c>
      <c r="L13" s="98">
        <v>36</v>
      </c>
      <c r="M13" s="98">
        <v>22</v>
      </c>
      <c r="O13" s="98">
        <f t="shared" si="0"/>
        <v>388</v>
      </c>
      <c r="P13">
        <v>12</v>
      </c>
    </row>
    <row r="14" spans="1:17" ht="20.25">
      <c r="A14" s="7">
        <v>12</v>
      </c>
      <c r="B14" s="11" t="s">
        <v>907</v>
      </c>
      <c r="C14" s="72" t="s">
        <v>908</v>
      </c>
      <c r="D14" s="113">
        <v>10</v>
      </c>
      <c r="E14" s="98">
        <v>65</v>
      </c>
      <c r="F14" s="98">
        <v>54</v>
      </c>
      <c r="G14" s="98">
        <v>71</v>
      </c>
      <c r="H14" s="98">
        <v>57</v>
      </c>
      <c r="I14" s="98">
        <v>43</v>
      </c>
      <c r="J14" s="98">
        <v>83</v>
      </c>
      <c r="K14" s="98">
        <v>31</v>
      </c>
      <c r="L14" s="98">
        <v>30</v>
      </c>
      <c r="M14" s="98">
        <v>15</v>
      </c>
      <c r="O14" s="98">
        <f t="shared" si="0"/>
        <v>434</v>
      </c>
      <c r="P14">
        <v>15</v>
      </c>
      <c r="Q14" s="3"/>
    </row>
    <row r="15" spans="1:17" ht="20.25">
      <c r="A15" s="7">
        <v>13</v>
      </c>
      <c r="B15" s="11" t="s">
        <v>897</v>
      </c>
      <c r="C15" s="72" t="s">
        <v>898</v>
      </c>
      <c r="D15" s="113">
        <v>161</v>
      </c>
      <c r="E15" s="98">
        <v>65</v>
      </c>
      <c r="F15" s="98">
        <v>39</v>
      </c>
      <c r="G15" s="98">
        <v>29</v>
      </c>
      <c r="H15" s="98">
        <v>55</v>
      </c>
      <c r="I15" s="98">
        <v>54</v>
      </c>
      <c r="J15" s="98">
        <v>72</v>
      </c>
      <c r="K15" s="98">
        <v>31</v>
      </c>
      <c r="L15" s="98">
        <v>42</v>
      </c>
      <c r="M15" s="98">
        <v>19</v>
      </c>
      <c r="O15" s="98">
        <f t="shared" si="0"/>
        <v>387</v>
      </c>
      <c r="P15">
        <v>9</v>
      </c>
    </row>
    <row r="16" spans="1:17" ht="20.25">
      <c r="A16" s="7">
        <v>14</v>
      </c>
      <c r="B16" s="11" t="s">
        <v>375</v>
      </c>
      <c r="C16" s="72" t="s">
        <v>899</v>
      </c>
      <c r="D16" s="113">
        <v>72</v>
      </c>
      <c r="E16" s="98">
        <v>70</v>
      </c>
      <c r="F16" s="98">
        <v>25</v>
      </c>
      <c r="G16" s="98">
        <v>45</v>
      </c>
      <c r="H16" s="98">
        <v>44</v>
      </c>
      <c r="I16" s="98">
        <v>51</v>
      </c>
      <c r="J16" s="98">
        <v>28</v>
      </c>
      <c r="K16" s="98">
        <v>40</v>
      </c>
      <c r="L16" s="98">
        <v>43</v>
      </c>
      <c r="M16" s="98">
        <v>22</v>
      </c>
      <c r="O16" s="98">
        <f t="shared" si="0"/>
        <v>346</v>
      </c>
      <c r="P16">
        <v>10</v>
      </c>
    </row>
    <row r="17" spans="1:16" ht="20.25">
      <c r="A17" s="7">
        <v>15</v>
      </c>
      <c r="B17" s="11" t="s">
        <v>765</v>
      </c>
      <c r="C17" s="72" t="s">
        <v>904</v>
      </c>
      <c r="D17" s="113">
        <v>451</v>
      </c>
      <c r="E17" s="98">
        <v>80</v>
      </c>
      <c r="F17" s="98">
        <v>39</v>
      </c>
      <c r="G17" s="98">
        <v>77</v>
      </c>
      <c r="H17" s="98">
        <v>44</v>
      </c>
      <c r="I17" s="98">
        <v>35</v>
      </c>
      <c r="J17" s="98">
        <v>16</v>
      </c>
      <c r="K17" s="98">
        <v>0</v>
      </c>
      <c r="L17" s="98">
        <v>35</v>
      </c>
      <c r="M17" s="98">
        <v>22</v>
      </c>
      <c r="O17" s="98">
        <f t="shared" si="0"/>
        <v>326</v>
      </c>
      <c r="P17">
        <v>13</v>
      </c>
    </row>
    <row r="18" spans="1:16" ht="20.25">
      <c r="A18" s="7">
        <v>16</v>
      </c>
      <c r="B18" s="11" t="s">
        <v>909</v>
      </c>
      <c r="C18" s="72" t="s">
        <v>910</v>
      </c>
      <c r="D18" s="113">
        <v>445</v>
      </c>
      <c r="E18" s="98">
        <v>65</v>
      </c>
      <c r="F18" s="98">
        <v>29</v>
      </c>
      <c r="G18" s="98">
        <v>30</v>
      </c>
      <c r="H18" s="98">
        <v>35</v>
      </c>
      <c r="I18" s="98">
        <v>35</v>
      </c>
      <c r="J18" s="98">
        <v>48</v>
      </c>
      <c r="K18" s="98">
        <v>44</v>
      </c>
      <c r="L18" s="98">
        <v>11</v>
      </c>
      <c r="M18" s="98">
        <v>15</v>
      </c>
      <c r="O18" s="98">
        <f t="shared" si="0"/>
        <v>297</v>
      </c>
      <c r="P18">
        <v>16</v>
      </c>
    </row>
    <row r="19" spans="1:16" ht="20.25">
      <c r="A19" s="7">
        <v>17</v>
      </c>
      <c r="B19" s="77" t="s">
        <v>900</v>
      </c>
      <c r="C19" s="72" t="s">
        <v>901</v>
      </c>
      <c r="D19" s="113">
        <v>309</v>
      </c>
      <c r="E19" s="98">
        <v>68</v>
      </c>
      <c r="F19" s="98">
        <v>24</v>
      </c>
      <c r="G19" s="98">
        <v>41</v>
      </c>
      <c r="H19" s="98">
        <v>43</v>
      </c>
      <c r="I19" s="98">
        <v>35</v>
      </c>
      <c r="J19" s="98">
        <v>17</v>
      </c>
      <c r="K19" s="98">
        <v>14</v>
      </c>
      <c r="L19" s="98">
        <v>35</v>
      </c>
      <c r="M19" s="98">
        <v>18</v>
      </c>
      <c r="O19" s="98">
        <f t="shared" si="0"/>
        <v>277</v>
      </c>
      <c r="P19">
        <v>11</v>
      </c>
    </row>
  </sheetData>
  <sortState ref="A3:O19">
    <sortCondition descending="1" ref="O3"/>
  </sortState>
  <conditionalFormatting sqref="E3:L19">
    <cfRule type="cellIs" dxfId="6" priority="1" operator="lessThan">
      <formula>35</formula>
    </cfRule>
  </conditionalFormatting>
  <pageMargins left="0.7" right="0.7" top="0.75" bottom="0.75" header="0.3" footer="0.3"/>
  <pageSetup orientation="portrait" horizontalDpi="0" verticalDpi="0" r:id="rId1"/>
  <ignoredErrors>
    <ignoredError sqref="D1 A1:C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K105"/>
  <sheetViews>
    <sheetView topLeftCell="A16" workbookViewId="0">
      <selection activeCell="D13" sqref="D13"/>
    </sheetView>
  </sheetViews>
  <sheetFormatPr defaultColWidth="7.875" defaultRowHeight="33"/>
  <cols>
    <col min="1" max="1" width="7" style="50" customWidth="1"/>
    <col min="2" max="2" width="19.875" style="50" customWidth="1"/>
    <col min="3" max="3" width="11.75" style="50" customWidth="1"/>
    <col min="4" max="4" width="10.125" style="50" customWidth="1"/>
    <col min="5" max="5" width="7.25" style="67" customWidth="1"/>
    <col min="6" max="6" width="10.125" style="57" customWidth="1"/>
    <col min="7" max="7" width="12.625" style="58" customWidth="1"/>
    <col min="8" max="10" width="12.625" style="66" hidden="1" customWidth="1"/>
    <col min="11" max="11" width="12.625" style="58" customWidth="1"/>
    <col min="12" max="14" width="12.625" style="66" hidden="1" customWidth="1"/>
    <col min="15" max="15" width="12.625" style="58" customWidth="1"/>
    <col min="16" max="18" width="12.625" style="66" hidden="1" customWidth="1"/>
    <col min="19" max="19" width="12.625" style="58" customWidth="1"/>
    <col min="20" max="20" width="12.625" style="14" customWidth="1"/>
    <col min="21" max="21" width="12.625" style="58" customWidth="1"/>
    <col min="22" max="22" width="7.5" style="55" customWidth="1"/>
    <col min="23" max="25" width="8.25" style="55" customWidth="1"/>
    <col min="26" max="26" width="7.5" style="55" customWidth="1"/>
    <col min="27" max="28" width="8.25" style="55" customWidth="1"/>
    <col min="29" max="29" width="9.875" style="55" customWidth="1"/>
    <col min="30" max="30" width="8.875" style="47" customWidth="1"/>
    <col min="31" max="31" width="12.375" style="47" customWidth="1"/>
    <col min="32" max="32" width="7.5" style="55" customWidth="1"/>
    <col min="33" max="34" width="8.25" style="55" customWidth="1"/>
    <col min="35" max="35" width="7.5" style="55" customWidth="1"/>
    <col min="36" max="37" width="8.25" style="55" customWidth="1"/>
    <col min="38" max="38" width="11.5" style="50" customWidth="1"/>
    <col min="39" max="39" width="11" style="50" customWidth="1"/>
    <col min="40" max="40" width="12" style="50" customWidth="1"/>
    <col min="41" max="41" width="7.875" style="50"/>
    <col min="42" max="42" width="12.625" style="55" customWidth="1"/>
    <col min="43" max="43" width="25.375" style="56" customWidth="1"/>
    <col min="44" max="16384" width="7.875" style="50"/>
  </cols>
  <sheetData>
    <row r="1" spans="1:43" s="20" customFormat="1">
      <c r="A1" s="9" t="s">
        <v>0</v>
      </c>
      <c r="B1" s="10" t="s">
        <v>342</v>
      </c>
      <c r="C1" s="11" t="s">
        <v>2</v>
      </c>
      <c r="D1" s="9" t="s">
        <v>3</v>
      </c>
      <c r="E1" s="69" t="s">
        <v>24</v>
      </c>
      <c r="F1" s="12" t="s">
        <v>25</v>
      </c>
      <c r="G1" s="13" t="s">
        <v>343</v>
      </c>
      <c r="H1" s="59" t="s">
        <v>4</v>
      </c>
      <c r="I1" s="59" t="s">
        <v>4</v>
      </c>
      <c r="J1" s="59" t="s">
        <v>599</v>
      </c>
      <c r="K1" t="s">
        <v>600</v>
      </c>
      <c r="L1" s="59" t="s">
        <v>11</v>
      </c>
      <c r="M1" s="59" t="s">
        <v>11</v>
      </c>
      <c r="N1" s="59" t="s">
        <v>26</v>
      </c>
      <c r="O1" t="s">
        <v>601</v>
      </c>
      <c r="P1" s="59" t="s">
        <v>345</v>
      </c>
      <c r="Q1" s="59" t="s">
        <v>345</v>
      </c>
      <c r="R1" s="59" t="s">
        <v>27</v>
      </c>
      <c r="S1" t="s">
        <v>602</v>
      </c>
      <c r="T1" s="14"/>
      <c r="U1" s="13" t="s">
        <v>344</v>
      </c>
      <c r="V1" s="15" t="s">
        <v>346</v>
      </c>
      <c r="W1" s="15" t="s">
        <v>347</v>
      </c>
      <c r="X1" s="15" t="s">
        <v>348</v>
      </c>
      <c r="Y1" s="16" t="s">
        <v>4</v>
      </c>
      <c r="Z1" s="15" t="s">
        <v>346</v>
      </c>
      <c r="AA1" s="15" t="s">
        <v>347</v>
      </c>
      <c r="AB1" s="15" t="s">
        <v>348</v>
      </c>
      <c r="AC1" s="16" t="s">
        <v>4</v>
      </c>
      <c r="AD1" s="17" t="s">
        <v>344</v>
      </c>
      <c r="AE1" s="17" t="s">
        <v>314</v>
      </c>
      <c r="AF1" s="15" t="s">
        <v>11</v>
      </c>
      <c r="AG1" s="15" t="s">
        <v>345</v>
      </c>
      <c r="AH1" s="15" t="s">
        <v>344</v>
      </c>
      <c r="AI1" s="15" t="s">
        <v>11</v>
      </c>
      <c r="AJ1" s="15" t="s">
        <v>345</v>
      </c>
      <c r="AK1" s="15" t="s">
        <v>344</v>
      </c>
      <c r="AL1" s="18" t="s">
        <v>26</v>
      </c>
      <c r="AM1" s="18" t="s">
        <v>11</v>
      </c>
      <c r="AN1" s="18" t="s">
        <v>27</v>
      </c>
      <c r="AO1" s="18" t="s">
        <v>345</v>
      </c>
      <c r="AP1" s="18" t="s">
        <v>349</v>
      </c>
      <c r="AQ1" s="19" t="s">
        <v>343</v>
      </c>
    </row>
    <row r="2" spans="1:43" s="20" customFormat="1" ht="15.75" customHeight="1">
      <c r="A2" s="21"/>
      <c r="B2" s="10" t="s">
        <v>350</v>
      </c>
      <c r="C2" s="22" t="s">
        <v>351</v>
      </c>
      <c r="D2" s="21">
        <v>471</v>
      </c>
      <c r="E2" s="70" t="s">
        <v>603</v>
      </c>
      <c r="F2" s="24" t="s">
        <v>341</v>
      </c>
      <c r="G2" s="25" t="s">
        <v>331</v>
      </c>
      <c r="H2" s="60">
        <v>88</v>
      </c>
      <c r="I2" s="60">
        <v>95</v>
      </c>
      <c r="J2" s="60">
        <v>183</v>
      </c>
      <c r="K2" s="86">
        <v>91.5</v>
      </c>
      <c r="L2" s="87">
        <v>50</v>
      </c>
      <c r="M2" s="87">
        <v>46</v>
      </c>
      <c r="N2" s="87">
        <v>96</v>
      </c>
      <c r="O2" s="86">
        <v>48</v>
      </c>
      <c r="P2" s="87">
        <v>50</v>
      </c>
      <c r="Q2" s="87">
        <v>46</v>
      </c>
      <c r="R2" s="87">
        <v>96</v>
      </c>
      <c r="S2" s="86">
        <v>48</v>
      </c>
      <c r="T2" s="88"/>
      <c r="U2" s="86">
        <f t="shared" ref="U2:U36" si="0">SUM(K2,O2,S2)</f>
        <v>187.5</v>
      </c>
      <c r="V2" s="18">
        <v>33</v>
      </c>
      <c r="W2" s="18">
        <v>25</v>
      </c>
      <c r="X2" s="18">
        <v>30</v>
      </c>
      <c r="Y2" s="18">
        <f t="shared" ref="Y2:Y36" si="1">SUM(V2:X2)</f>
        <v>88</v>
      </c>
      <c r="Z2" s="18">
        <v>31</v>
      </c>
      <c r="AA2" s="18">
        <v>32</v>
      </c>
      <c r="AB2" s="18">
        <v>32</v>
      </c>
      <c r="AC2" s="18">
        <f t="shared" ref="AC2:AC36" si="2">SUM(Z2:AB2)</f>
        <v>95</v>
      </c>
      <c r="AD2" s="18">
        <f t="shared" ref="AD2:AD36" si="3">SUM(Y2,AC2)</f>
        <v>183</v>
      </c>
      <c r="AE2" s="18">
        <f t="shared" ref="AE2:AE36" si="4">AD2/2</f>
        <v>91.5</v>
      </c>
      <c r="AF2" s="18">
        <v>50</v>
      </c>
      <c r="AG2" s="18">
        <v>50</v>
      </c>
      <c r="AH2" s="18">
        <f t="shared" ref="AH2:AH36" si="5">SUM(AF2:AG2)</f>
        <v>100</v>
      </c>
      <c r="AI2" s="18">
        <v>46</v>
      </c>
      <c r="AJ2" s="18">
        <v>46</v>
      </c>
      <c r="AK2" s="18">
        <f t="shared" ref="AK2:AK36" si="6">SUM(AI2:AJ2)</f>
        <v>92</v>
      </c>
      <c r="AL2" s="18">
        <f t="shared" ref="AL2:AL36" si="7">SUM(AF2,AI2)</f>
        <v>96</v>
      </c>
      <c r="AM2" s="18">
        <f t="shared" ref="AM2:AM36" si="8">AL2/2</f>
        <v>48</v>
      </c>
      <c r="AN2" s="18">
        <f t="shared" ref="AN2:AN36" si="9">SUM(AG2,AJ2)</f>
        <v>96</v>
      </c>
      <c r="AO2" s="18">
        <f t="shared" ref="AO2:AO36" si="10">AN2/2</f>
        <v>48</v>
      </c>
      <c r="AP2" s="26">
        <v>101</v>
      </c>
      <c r="AQ2" s="27" t="s">
        <v>352</v>
      </c>
    </row>
    <row r="3" spans="1:43" s="20" customFormat="1" ht="15.75" customHeight="1">
      <c r="A3" s="23"/>
      <c r="B3" s="10" t="s">
        <v>353</v>
      </c>
      <c r="C3" s="22" t="s">
        <v>354</v>
      </c>
      <c r="D3" s="23">
        <v>218</v>
      </c>
      <c r="E3" s="70" t="s">
        <v>603</v>
      </c>
      <c r="F3" s="24" t="s">
        <v>341</v>
      </c>
      <c r="G3" s="25" t="s">
        <v>331</v>
      </c>
      <c r="H3" s="60">
        <v>83</v>
      </c>
      <c r="I3" s="60">
        <v>95</v>
      </c>
      <c r="J3" s="60">
        <v>178</v>
      </c>
      <c r="K3" s="86">
        <v>89</v>
      </c>
      <c r="L3" s="87">
        <v>49</v>
      </c>
      <c r="M3" s="87">
        <v>48</v>
      </c>
      <c r="N3" s="87">
        <v>97</v>
      </c>
      <c r="O3" s="86">
        <v>48.5</v>
      </c>
      <c r="P3" s="87">
        <v>49</v>
      </c>
      <c r="Q3" s="87">
        <v>48</v>
      </c>
      <c r="R3" s="87">
        <v>97</v>
      </c>
      <c r="S3" s="86">
        <v>48.5</v>
      </c>
      <c r="T3" s="88"/>
      <c r="U3" s="86">
        <f t="shared" si="0"/>
        <v>186</v>
      </c>
      <c r="V3" s="18">
        <v>25</v>
      </c>
      <c r="W3" s="18">
        <v>30</v>
      </c>
      <c r="X3" s="18">
        <v>28</v>
      </c>
      <c r="Y3" s="18">
        <f t="shared" si="1"/>
        <v>83</v>
      </c>
      <c r="Z3" s="18">
        <v>30</v>
      </c>
      <c r="AA3" s="18">
        <v>33</v>
      </c>
      <c r="AB3" s="18">
        <v>32</v>
      </c>
      <c r="AC3" s="18">
        <f t="shared" si="2"/>
        <v>95</v>
      </c>
      <c r="AD3" s="18">
        <f t="shared" si="3"/>
        <v>178</v>
      </c>
      <c r="AE3" s="18">
        <f t="shared" si="4"/>
        <v>89</v>
      </c>
      <c r="AF3" s="18">
        <v>49</v>
      </c>
      <c r="AG3" s="18">
        <v>49</v>
      </c>
      <c r="AH3" s="18">
        <f t="shared" si="5"/>
        <v>98</v>
      </c>
      <c r="AI3" s="18">
        <v>48</v>
      </c>
      <c r="AJ3" s="18">
        <v>48</v>
      </c>
      <c r="AK3" s="18">
        <f t="shared" si="6"/>
        <v>96</v>
      </c>
      <c r="AL3" s="18">
        <f t="shared" si="7"/>
        <v>97</v>
      </c>
      <c r="AM3" s="18">
        <f t="shared" si="8"/>
        <v>48.5</v>
      </c>
      <c r="AN3" s="18">
        <f t="shared" si="9"/>
        <v>97</v>
      </c>
      <c r="AO3" s="18">
        <f t="shared" si="10"/>
        <v>48.5</v>
      </c>
      <c r="AP3" s="26">
        <v>33</v>
      </c>
      <c r="AQ3" s="27" t="s">
        <v>352</v>
      </c>
    </row>
    <row r="4" spans="1:43" s="20" customFormat="1" ht="15.75" customHeight="1">
      <c r="A4" s="23"/>
      <c r="B4" s="10" t="s">
        <v>355</v>
      </c>
      <c r="C4" s="22" t="s">
        <v>356</v>
      </c>
      <c r="D4" s="23">
        <v>237</v>
      </c>
      <c r="E4" s="70" t="s">
        <v>608</v>
      </c>
      <c r="F4" s="28" t="s">
        <v>30</v>
      </c>
      <c r="G4" s="18" t="s">
        <v>357</v>
      </c>
      <c r="H4" s="36">
        <v>77</v>
      </c>
      <c r="I4" s="36">
        <v>90</v>
      </c>
      <c r="J4" s="36">
        <v>167</v>
      </c>
      <c r="K4" s="89">
        <v>83.5</v>
      </c>
      <c r="L4" s="90">
        <v>50</v>
      </c>
      <c r="M4" s="90">
        <v>50</v>
      </c>
      <c r="N4" s="90">
        <v>100</v>
      </c>
      <c r="O4" s="91">
        <v>50</v>
      </c>
      <c r="P4" s="90">
        <v>40</v>
      </c>
      <c r="Q4" s="90">
        <v>50</v>
      </c>
      <c r="R4" s="90">
        <v>90</v>
      </c>
      <c r="S4" s="91">
        <v>45</v>
      </c>
      <c r="T4" s="88"/>
      <c r="U4" s="86">
        <f t="shared" si="0"/>
        <v>178.5</v>
      </c>
      <c r="V4" s="18">
        <v>25</v>
      </c>
      <c r="W4" s="18">
        <v>22</v>
      </c>
      <c r="X4" s="18">
        <v>30</v>
      </c>
      <c r="Y4" s="18">
        <f t="shared" si="1"/>
        <v>77</v>
      </c>
      <c r="Z4" s="18">
        <v>30</v>
      </c>
      <c r="AA4" s="18">
        <v>28</v>
      </c>
      <c r="AB4" s="18">
        <v>32</v>
      </c>
      <c r="AC4" s="18">
        <f t="shared" si="2"/>
        <v>90</v>
      </c>
      <c r="AD4" s="18">
        <f t="shared" si="3"/>
        <v>167</v>
      </c>
      <c r="AE4" s="18">
        <f t="shared" si="4"/>
        <v>83.5</v>
      </c>
      <c r="AF4" s="18">
        <v>50</v>
      </c>
      <c r="AG4" s="18">
        <v>40</v>
      </c>
      <c r="AH4" s="18">
        <f t="shared" si="5"/>
        <v>90</v>
      </c>
      <c r="AI4" s="18">
        <v>50</v>
      </c>
      <c r="AJ4" s="18">
        <v>50</v>
      </c>
      <c r="AK4" s="18">
        <f t="shared" si="6"/>
        <v>100</v>
      </c>
      <c r="AL4" s="18">
        <f t="shared" si="7"/>
        <v>100</v>
      </c>
      <c r="AM4" s="18">
        <f t="shared" si="8"/>
        <v>50</v>
      </c>
      <c r="AN4" s="18">
        <f t="shared" si="9"/>
        <v>90</v>
      </c>
      <c r="AO4" s="18">
        <f t="shared" si="10"/>
        <v>45</v>
      </c>
      <c r="AP4" s="26">
        <v>5</v>
      </c>
      <c r="AQ4" s="29" t="s">
        <v>358</v>
      </c>
    </row>
    <row r="5" spans="1:43" s="20" customFormat="1" ht="15.75" customHeight="1">
      <c r="A5" s="23"/>
      <c r="B5" s="10" t="s">
        <v>359</v>
      </c>
      <c r="C5" s="22" t="s">
        <v>360</v>
      </c>
      <c r="D5" s="23">
        <v>129</v>
      </c>
      <c r="E5" s="23">
        <v>5</v>
      </c>
      <c r="F5" s="28" t="s">
        <v>29</v>
      </c>
      <c r="G5" s="18" t="s">
        <v>361</v>
      </c>
      <c r="H5" s="36">
        <v>71</v>
      </c>
      <c r="I5" s="36">
        <v>80</v>
      </c>
      <c r="J5" s="36">
        <v>151</v>
      </c>
      <c r="K5" s="89">
        <v>75.5</v>
      </c>
      <c r="L5" s="90">
        <v>50</v>
      </c>
      <c r="M5" s="90">
        <v>50</v>
      </c>
      <c r="N5" s="90">
        <v>100</v>
      </c>
      <c r="O5" s="91">
        <v>50</v>
      </c>
      <c r="P5" s="90">
        <v>45</v>
      </c>
      <c r="Q5" s="90">
        <v>49</v>
      </c>
      <c r="R5" s="90">
        <v>94</v>
      </c>
      <c r="S5" s="91">
        <v>47</v>
      </c>
      <c r="T5" s="88"/>
      <c r="U5" s="86">
        <f t="shared" si="0"/>
        <v>172.5</v>
      </c>
      <c r="V5" s="18">
        <v>27</v>
      </c>
      <c r="W5" s="18">
        <v>25</v>
      </c>
      <c r="X5" s="18">
        <v>19</v>
      </c>
      <c r="Y5" s="18">
        <f t="shared" si="1"/>
        <v>71</v>
      </c>
      <c r="Z5" s="18">
        <v>25</v>
      </c>
      <c r="AA5" s="18">
        <v>30</v>
      </c>
      <c r="AB5" s="18">
        <v>25</v>
      </c>
      <c r="AC5" s="18">
        <f t="shared" si="2"/>
        <v>80</v>
      </c>
      <c r="AD5" s="18">
        <f t="shared" si="3"/>
        <v>151</v>
      </c>
      <c r="AE5" s="18">
        <f t="shared" si="4"/>
        <v>75.5</v>
      </c>
      <c r="AF5" s="18">
        <v>50</v>
      </c>
      <c r="AG5" s="18">
        <v>45</v>
      </c>
      <c r="AH5" s="18">
        <f t="shared" si="5"/>
        <v>95</v>
      </c>
      <c r="AI5" s="18">
        <v>50</v>
      </c>
      <c r="AJ5" s="18">
        <v>49</v>
      </c>
      <c r="AK5" s="18">
        <f t="shared" si="6"/>
        <v>99</v>
      </c>
      <c r="AL5" s="18">
        <f t="shared" si="7"/>
        <v>100</v>
      </c>
      <c r="AM5" s="18">
        <f t="shared" si="8"/>
        <v>50</v>
      </c>
      <c r="AN5" s="18">
        <f t="shared" si="9"/>
        <v>94</v>
      </c>
      <c r="AO5" s="18">
        <f t="shared" si="10"/>
        <v>47</v>
      </c>
      <c r="AP5" s="26">
        <v>66</v>
      </c>
      <c r="AQ5" s="29" t="s">
        <v>362</v>
      </c>
    </row>
    <row r="6" spans="1:43" s="20" customFormat="1" ht="15.75" customHeight="1">
      <c r="A6" s="23"/>
      <c r="B6" s="10" t="s">
        <v>363</v>
      </c>
      <c r="C6" s="22" t="s">
        <v>364</v>
      </c>
      <c r="D6" s="23">
        <v>160</v>
      </c>
      <c r="E6" s="70" t="s">
        <v>605</v>
      </c>
      <c r="F6" s="12" t="s">
        <v>341</v>
      </c>
      <c r="G6" s="18" t="s">
        <v>333</v>
      </c>
      <c r="H6" s="36">
        <v>75</v>
      </c>
      <c r="I6" s="36">
        <v>71</v>
      </c>
      <c r="J6" s="36">
        <v>146</v>
      </c>
      <c r="K6" s="89">
        <v>73</v>
      </c>
      <c r="L6" s="90">
        <v>49</v>
      </c>
      <c r="M6" s="90">
        <v>46</v>
      </c>
      <c r="N6" s="90">
        <v>95</v>
      </c>
      <c r="O6" s="91">
        <v>47.5</v>
      </c>
      <c r="P6" s="90">
        <v>49</v>
      </c>
      <c r="Q6" s="90">
        <v>46</v>
      </c>
      <c r="R6" s="90">
        <v>95</v>
      </c>
      <c r="S6" s="91">
        <v>47.5</v>
      </c>
      <c r="T6" s="88"/>
      <c r="U6" s="86">
        <f t="shared" si="0"/>
        <v>168</v>
      </c>
      <c r="V6" s="18">
        <v>15</v>
      </c>
      <c r="W6" s="18">
        <v>30</v>
      </c>
      <c r="X6" s="18">
        <v>30</v>
      </c>
      <c r="Y6" s="18">
        <f t="shared" si="1"/>
        <v>75</v>
      </c>
      <c r="Z6" s="18">
        <v>5</v>
      </c>
      <c r="AA6" s="18">
        <v>33</v>
      </c>
      <c r="AB6" s="18">
        <v>33</v>
      </c>
      <c r="AC6" s="18">
        <f t="shared" si="2"/>
        <v>71</v>
      </c>
      <c r="AD6" s="18">
        <f t="shared" si="3"/>
        <v>146</v>
      </c>
      <c r="AE6" s="18">
        <f t="shared" si="4"/>
        <v>73</v>
      </c>
      <c r="AF6" s="18">
        <v>49</v>
      </c>
      <c r="AG6" s="18">
        <v>49</v>
      </c>
      <c r="AH6" s="18">
        <f t="shared" si="5"/>
        <v>98</v>
      </c>
      <c r="AI6" s="18">
        <v>46</v>
      </c>
      <c r="AJ6" s="18">
        <v>46</v>
      </c>
      <c r="AK6" s="18">
        <f t="shared" si="6"/>
        <v>92</v>
      </c>
      <c r="AL6" s="18">
        <f t="shared" si="7"/>
        <v>95</v>
      </c>
      <c r="AM6" s="18">
        <f t="shared" si="8"/>
        <v>47.5</v>
      </c>
      <c r="AN6" s="18">
        <f t="shared" si="9"/>
        <v>95</v>
      </c>
      <c r="AO6" s="18">
        <f t="shared" si="10"/>
        <v>47.5</v>
      </c>
      <c r="AP6" s="26">
        <v>39</v>
      </c>
      <c r="AQ6" s="29" t="s">
        <v>365</v>
      </c>
    </row>
    <row r="7" spans="1:43" s="221" customFormat="1">
      <c r="A7" s="203"/>
      <c r="B7" s="201" t="s">
        <v>366</v>
      </c>
      <c r="C7" s="202" t="s">
        <v>367</v>
      </c>
      <c r="D7" s="203">
        <v>436</v>
      </c>
      <c r="E7" s="215">
        <v>5</v>
      </c>
      <c r="F7" s="205" t="s">
        <v>28</v>
      </c>
      <c r="G7" s="206" t="s">
        <v>30</v>
      </c>
      <c r="H7" s="207">
        <v>93</v>
      </c>
      <c r="I7" s="207">
        <v>96</v>
      </c>
      <c r="J7" s="207">
        <v>189</v>
      </c>
      <c r="K7" s="216">
        <v>94.5</v>
      </c>
      <c r="L7" s="209">
        <v>40</v>
      </c>
      <c r="M7" s="209">
        <v>50</v>
      </c>
      <c r="N7" s="209">
        <v>90</v>
      </c>
      <c r="O7" s="206">
        <v>45</v>
      </c>
      <c r="P7" s="209">
        <v>20</v>
      </c>
      <c r="Q7" s="209">
        <v>35</v>
      </c>
      <c r="R7" s="209">
        <v>55</v>
      </c>
      <c r="S7" s="206">
        <v>27.5</v>
      </c>
      <c r="T7" s="211"/>
      <c r="U7" s="217">
        <f>SUM(K7,O7,S7)</f>
        <v>167</v>
      </c>
      <c r="V7" s="218"/>
      <c r="W7" s="218"/>
      <c r="X7" s="219"/>
      <c r="Y7" s="219"/>
      <c r="Z7" s="218"/>
      <c r="AA7" s="218"/>
      <c r="AB7" s="219"/>
      <c r="AC7" s="219"/>
      <c r="AD7" s="220"/>
      <c r="AE7" s="220"/>
      <c r="AF7" s="218"/>
      <c r="AG7" s="218"/>
      <c r="AH7" s="219"/>
      <c r="AI7" s="218"/>
      <c r="AJ7" s="218"/>
      <c r="AK7" s="219"/>
      <c r="AP7" s="219"/>
      <c r="AQ7" s="222"/>
    </row>
    <row r="8" spans="1:43" s="20" customFormat="1">
      <c r="A8" s="23"/>
      <c r="B8" s="10" t="s">
        <v>1232</v>
      </c>
      <c r="C8" s="22" t="s">
        <v>376</v>
      </c>
      <c r="D8" s="23">
        <v>86</v>
      </c>
      <c r="E8" s="70" t="s">
        <v>609</v>
      </c>
      <c r="F8" s="28" t="s">
        <v>30</v>
      </c>
      <c r="G8" s="18" t="s">
        <v>377</v>
      </c>
      <c r="H8" s="36">
        <v>69</v>
      </c>
      <c r="I8" s="36">
        <v>70</v>
      </c>
      <c r="J8" s="36">
        <v>139</v>
      </c>
      <c r="K8" s="89">
        <v>69.5</v>
      </c>
      <c r="L8" s="90">
        <v>48</v>
      </c>
      <c r="M8" s="90">
        <v>45</v>
      </c>
      <c r="N8" s="90">
        <v>93</v>
      </c>
      <c r="O8" s="91">
        <v>46.5</v>
      </c>
      <c r="P8" s="90">
        <v>49</v>
      </c>
      <c r="Q8" s="90">
        <v>45</v>
      </c>
      <c r="R8" s="90">
        <v>94</v>
      </c>
      <c r="S8" s="91">
        <v>47</v>
      </c>
      <c r="T8" s="88"/>
      <c r="U8" s="86">
        <f t="shared" ref="U8:U13" si="11">SUM(K8,O8,S8)</f>
        <v>163</v>
      </c>
      <c r="V8" s="18">
        <v>24</v>
      </c>
      <c r="W8" s="18">
        <v>25</v>
      </c>
      <c r="X8" s="18">
        <v>20</v>
      </c>
      <c r="Y8" s="18">
        <f>SUM(V8:X8)</f>
        <v>69</v>
      </c>
      <c r="Z8" s="18">
        <v>25</v>
      </c>
      <c r="AA8" s="18">
        <v>25</v>
      </c>
      <c r="AB8" s="18">
        <v>20</v>
      </c>
      <c r="AC8" s="18">
        <f>SUM(Z8:AB8)</f>
        <v>70</v>
      </c>
      <c r="AD8" s="18">
        <f t="shared" ref="AD8:AD13" si="12">SUM(Y8,AC8)</f>
        <v>139</v>
      </c>
      <c r="AE8" s="18">
        <f t="shared" ref="AE8:AE13" si="13">AD8/2</f>
        <v>69.5</v>
      </c>
      <c r="AF8" s="18">
        <v>48</v>
      </c>
      <c r="AG8" s="18">
        <v>49</v>
      </c>
      <c r="AH8" s="18">
        <f>SUM(AF8:AG8)</f>
        <v>97</v>
      </c>
      <c r="AI8" s="18">
        <v>45</v>
      </c>
      <c r="AJ8" s="18">
        <v>45</v>
      </c>
      <c r="AK8" s="18">
        <f>SUM(AI8:AJ8)</f>
        <v>90</v>
      </c>
      <c r="AL8" s="18">
        <f t="shared" ref="AL8:AL13" si="14">SUM(AF8,AI8)</f>
        <v>93</v>
      </c>
      <c r="AM8" s="18">
        <f t="shared" ref="AM8:AM13" si="15">AL8/2</f>
        <v>46.5</v>
      </c>
      <c r="AN8" s="18">
        <f t="shared" ref="AN8:AN13" si="16">SUM(AG8,AJ8)</f>
        <v>94</v>
      </c>
      <c r="AO8" s="18">
        <f t="shared" ref="AO8:AO13" si="17">AN8/2</f>
        <v>47</v>
      </c>
      <c r="AP8" s="26">
        <v>71</v>
      </c>
      <c r="AQ8" s="29" t="s">
        <v>378</v>
      </c>
    </row>
    <row r="9" spans="1:43" s="20" customFormat="1" ht="15.75" customHeight="1">
      <c r="A9" s="23"/>
      <c r="B9" s="10" t="s">
        <v>1233</v>
      </c>
      <c r="C9" s="22" t="s">
        <v>593</v>
      </c>
      <c r="D9" s="23">
        <v>123</v>
      </c>
      <c r="E9" s="71" t="s">
        <v>603</v>
      </c>
      <c r="F9" s="24" t="s">
        <v>341</v>
      </c>
      <c r="G9" s="25" t="s">
        <v>331</v>
      </c>
      <c r="H9" s="60"/>
      <c r="I9" s="60"/>
      <c r="J9" s="60">
        <v>0</v>
      </c>
      <c r="K9" s="86">
        <v>75</v>
      </c>
      <c r="L9" s="87"/>
      <c r="M9" s="87"/>
      <c r="N9" s="87">
        <v>0</v>
      </c>
      <c r="O9" s="86">
        <v>40</v>
      </c>
      <c r="P9" s="87"/>
      <c r="Q9" s="87"/>
      <c r="R9" s="87">
        <v>0</v>
      </c>
      <c r="S9" s="86">
        <v>45</v>
      </c>
      <c r="T9" s="88"/>
      <c r="U9" s="86">
        <f t="shared" si="11"/>
        <v>160</v>
      </c>
      <c r="V9" s="18"/>
      <c r="W9" s="18"/>
      <c r="X9" s="18"/>
      <c r="Y9" s="18"/>
      <c r="Z9" s="18"/>
      <c r="AA9" s="18"/>
      <c r="AB9" s="18"/>
      <c r="AC9" s="18"/>
      <c r="AD9" s="18">
        <f t="shared" si="12"/>
        <v>0</v>
      </c>
      <c r="AE9" s="18">
        <f t="shared" si="13"/>
        <v>0</v>
      </c>
      <c r="AF9" s="18"/>
      <c r="AG9" s="18"/>
      <c r="AH9" s="18"/>
      <c r="AI9" s="18"/>
      <c r="AJ9" s="18"/>
      <c r="AK9" s="18"/>
      <c r="AL9" s="18">
        <f t="shared" si="14"/>
        <v>0</v>
      </c>
      <c r="AM9" s="18">
        <f t="shared" si="15"/>
        <v>0</v>
      </c>
      <c r="AN9" s="18">
        <f t="shared" si="16"/>
        <v>0</v>
      </c>
      <c r="AO9" s="18">
        <f t="shared" si="17"/>
        <v>0</v>
      </c>
      <c r="AP9" s="26">
        <v>4</v>
      </c>
      <c r="AQ9" s="40" t="s">
        <v>540</v>
      </c>
    </row>
    <row r="10" spans="1:43" s="20" customFormat="1">
      <c r="A10" s="23"/>
      <c r="B10" s="10" t="s">
        <v>395</v>
      </c>
      <c r="C10" s="22" t="s">
        <v>396</v>
      </c>
      <c r="D10" s="23">
        <v>16</v>
      </c>
      <c r="E10" s="70" t="s">
        <v>609</v>
      </c>
      <c r="F10" s="28" t="s">
        <v>30</v>
      </c>
      <c r="G10" s="18" t="s">
        <v>397</v>
      </c>
      <c r="H10" s="36">
        <v>66</v>
      </c>
      <c r="I10" s="36">
        <v>75</v>
      </c>
      <c r="J10" s="36">
        <v>141</v>
      </c>
      <c r="K10" s="89">
        <v>70.5</v>
      </c>
      <c r="L10" s="90">
        <v>40</v>
      </c>
      <c r="M10" s="90">
        <v>45</v>
      </c>
      <c r="N10" s="90">
        <v>85</v>
      </c>
      <c r="O10" s="91">
        <v>42.5</v>
      </c>
      <c r="P10" s="90">
        <v>40</v>
      </c>
      <c r="Q10" s="90">
        <v>45</v>
      </c>
      <c r="R10" s="90">
        <v>85</v>
      </c>
      <c r="S10" s="91">
        <v>42.5</v>
      </c>
      <c r="T10" s="88"/>
      <c r="U10" s="86">
        <f t="shared" si="11"/>
        <v>155.5</v>
      </c>
      <c r="V10" s="18">
        <v>22</v>
      </c>
      <c r="W10" s="18">
        <v>24</v>
      </c>
      <c r="X10" s="18">
        <v>20</v>
      </c>
      <c r="Y10" s="18">
        <f>SUM(V10:X10)</f>
        <v>66</v>
      </c>
      <c r="Z10" s="18">
        <v>25</v>
      </c>
      <c r="AA10" s="18">
        <v>25</v>
      </c>
      <c r="AB10" s="18">
        <v>25</v>
      </c>
      <c r="AC10" s="18">
        <f>SUM(Z10:AB10)</f>
        <v>75</v>
      </c>
      <c r="AD10" s="18">
        <f t="shared" si="12"/>
        <v>141</v>
      </c>
      <c r="AE10" s="18">
        <f t="shared" si="13"/>
        <v>70.5</v>
      </c>
      <c r="AF10" s="18">
        <v>40</v>
      </c>
      <c r="AG10" s="18">
        <v>40</v>
      </c>
      <c r="AH10" s="18">
        <f>SUM(AF10:AG10)</f>
        <v>80</v>
      </c>
      <c r="AI10" s="18">
        <v>45</v>
      </c>
      <c r="AJ10" s="18">
        <v>45</v>
      </c>
      <c r="AK10" s="18">
        <f>SUM(AI10:AJ10)</f>
        <v>90</v>
      </c>
      <c r="AL10" s="18">
        <f t="shared" si="14"/>
        <v>85</v>
      </c>
      <c r="AM10" s="18">
        <f t="shared" si="15"/>
        <v>42.5</v>
      </c>
      <c r="AN10" s="18">
        <f t="shared" si="16"/>
        <v>85</v>
      </c>
      <c r="AO10" s="18">
        <f t="shared" si="17"/>
        <v>42.5</v>
      </c>
      <c r="AP10" s="26">
        <v>90</v>
      </c>
      <c r="AQ10" s="29" t="s">
        <v>398</v>
      </c>
    </row>
    <row r="11" spans="1:43" s="20" customFormat="1" ht="15.75" customHeight="1">
      <c r="A11" s="23"/>
      <c r="B11" s="10" t="s">
        <v>1234</v>
      </c>
      <c r="C11" s="22" t="s">
        <v>369</v>
      </c>
      <c r="D11" s="23">
        <v>419</v>
      </c>
      <c r="E11" s="70" t="s">
        <v>606</v>
      </c>
      <c r="F11" s="28" t="s">
        <v>30</v>
      </c>
      <c r="G11" s="18" t="s">
        <v>411</v>
      </c>
      <c r="H11" s="36">
        <v>74</v>
      </c>
      <c r="I11" s="36">
        <v>70</v>
      </c>
      <c r="J11" s="36">
        <v>144</v>
      </c>
      <c r="K11" s="89">
        <v>72</v>
      </c>
      <c r="L11" s="90">
        <v>40</v>
      </c>
      <c r="M11" s="90">
        <v>40</v>
      </c>
      <c r="N11" s="90">
        <v>80</v>
      </c>
      <c r="O11" s="91">
        <v>40</v>
      </c>
      <c r="P11" s="90">
        <v>35</v>
      </c>
      <c r="Q11" s="90">
        <v>40</v>
      </c>
      <c r="R11" s="90">
        <v>75</v>
      </c>
      <c r="S11" s="91">
        <v>37.5</v>
      </c>
      <c r="T11" s="88"/>
      <c r="U11" s="86">
        <f t="shared" si="11"/>
        <v>149.5</v>
      </c>
      <c r="V11" s="18">
        <v>25</v>
      </c>
      <c r="W11" s="18">
        <v>24</v>
      </c>
      <c r="X11" s="18">
        <v>25</v>
      </c>
      <c r="Y11" s="18">
        <f>SUM(V11:X11)</f>
        <v>74</v>
      </c>
      <c r="Z11" s="18">
        <v>25</v>
      </c>
      <c r="AA11" s="18">
        <v>20</v>
      </c>
      <c r="AB11" s="18">
        <v>25</v>
      </c>
      <c r="AC11" s="18">
        <f>SUM(Z11:AB11)</f>
        <v>70</v>
      </c>
      <c r="AD11" s="18">
        <f t="shared" si="12"/>
        <v>144</v>
      </c>
      <c r="AE11" s="18">
        <f t="shared" si="13"/>
        <v>72</v>
      </c>
      <c r="AF11" s="18">
        <v>40</v>
      </c>
      <c r="AG11" s="18">
        <v>35</v>
      </c>
      <c r="AH11" s="18">
        <f>SUM(AF11:AG11)</f>
        <v>75</v>
      </c>
      <c r="AI11" s="18">
        <v>40</v>
      </c>
      <c r="AJ11" s="18">
        <v>40</v>
      </c>
      <c r="AK11" s="18">
        <f>SUM(AI11:AJ11)</f>
        <v>80</v>
      </c>
      <c r="AL11" s="18">
        <f t="shared" si="14"/>
        <v>80</v>
      </c>
      <c r="AM11" s="18">
        <f t="shared" si="15"/>
        <v>40</v>
      </c>
      <c r="AN11" s="18">
        <f t="shared" si="16"/>
        <v>75</v>
      </c>
      <c r="AO11" s="18">
        <f t="shared" si="17"/>
        <v>37.5</v>
      </c>
      <c r="AP11" s="26">
        <v>105</v>
      </c>
      <c r="AQ11" s="31">
        <v>30</v>
      </c>
    </row>
    <row r="12" spans="1:43" s="20" customFormat="1" ht="15.75" customHeight="1">
      <c r="A12" s="23"/>
      <c r="B12" s="22" t="s">
        <v>1235</v>
      </c>
      <c r="C12" s="22" t="s">
        <v>424</v>
      </c>
      <c r="D12" s="23">
        <v>149</v>
      </c>
      <c r="E12" s="70" t="s">
        <v>607</v>
      </c>
      <c r="F12" s="28" t="s">
        <v>30</v>
      </c>
      <c r="G12" s="18" t="s">
        <v>425</v>
      </c>
      <c r="H12" s="36">
        <v>75</v>
      </c>
      <c r="I12" s="36">
        <v>75</v>
      </c>
      <c r="J12" s="36">
        <v>150</v>
      </c>
      <c r="K12" s="89">
        <v>75</v>
      </c>
      <c r="L12" s="90">
        <v>30</v>
      </c>
      <c r="M12" s="90">
        <v>48</v>
      </c>
      <c r="N12" s="90">
        <v>78</v>
      </c>
      <c r="O12" s="91">
        <v>39</v>
      </c>
      <c r="P12" s="90">
        <v>35</v>
      </c>
      <c r="Q12" s="90">
        <v>30</v>
      </c>
      <c r="R12" s="90">
        <v>65</v>
      </c>
      <c r="S12" s="91">
        <v>32.5</v>
      </c>
      <c r="T12" s="88"/>
      <c r="U12" s="86">
        <f t="shared" si="11"/>
        <v>146.5</v>
      </c>
      <c r="V12" s="18">
        <v>28</v>
      </c>
      <c r="W12" s="18">
        <v>22</v>
      </c>
      <c r="X12" s="18">
        <v>25</v>
      </c>
      <c r="Y12" s="18">
        <f>SUM(V12:X12)</f>
        <v>75</v>
      </c>
      <c r="Z12" s="18">
        <v>30</v>
      </c>
      <c r="AA12" s="18">
        <v>20</v>
      </c>
      <c r="AB12" s="18">
        <v>25</v>
      </c>
      <c r="AC12" s="18">
        <f>SUM(Z12:AB12)</f>
        <v>75</v>
      </c>
      <c r="AD12" s="18">
        <f t="shared" si="12"/>
        <v>150</v>
      </c>
      <c r="AE12" s="18">
        <f t="shared" si="13"/>
        <v>75</v>
      </c>
      <c r="AF12" s="18">
        <v>30</v>
      </c>
      <c r="AG12" s="18">
        <v>35</v>
      </c>
      <c r="AH12" s="18">
        <f>SUM(AF12:AG12)</f>
        <v>65</v>
      </c>
      <c r="AI12" s="18">
        <v>48</v>
      </c>
      <c r="AJ12" s="18">
        <v>30</v>
      </c>
      <c r="AK12" s="18">
        <f>SUM(AI12:AJ12)</f>
        <v>78</v>
      </c>
      <c r="AL12" s="18">
        <f t="shared" si="14"/>
        <v>78</v>
      </c>
      <c r="AM12" s="18">
        <f t="shared" si="15"/>
        <v>39</v>
      </c>
      <c r="AN12" s="18">
        <f t="shared" si="16"/>
        <v>65</v>
      </c>
      <c r="AO12" s="18">
        <f t="shared" si="17"/>
        <v>32.5</v>
      </c>
      <c r="AP12" s="26">
        <v>30</v>
      </c>
      <c r="AQ12" s="29" t="s">
        <v>426</v>
      </c>
    </row>
    <row r="13" spans="1:43" s="20" customFormat="1" ht="15.75" customHeight="1">
      <c r="A13" s="23"/>
      <c r="B13" s="10" t="s">
        <v>438</v>
      </c>
      <c r="C13" s="22" t="s">
        <v>439</v>
      </c>
      <c r="D13" s="23">
        <v>525</v>
      </c>
      <c r="E13" s="70" t="s">
        <v>604</v>
      </c>
      <c r="F13" s="28" t="s">
        <v>30</v>
      </c>
      <c r="G13" s="18" t="s">
        <v>397</v>
      </c>
      <c r="H13" s="36">
        <v>71</v>
      </c>
      <c r="I13" s="36">
        <v>75</v>
      </c>
      <c r="J13" s="36">
        <v>146</v>
      </c>
      <c r="K13" s="89">
        <v>73</v>
      </c>
      <c r="L13" s="90">
        <v>30</v>
      </c>
      <c r="M13" s="90">
        <v>35</v>
      </c>
      <c r="N13" s="90">
        <v>65</v>
      </c>
      <c r="O13" s="91">
        <v>32.5</v>
      </c>
      <c r="P13" s="90">
        <v>38</v>
      </c>
      <c r="Q13" s="90">
        <v>40</v>
      </c>
      <c r="R13" s="90">
        <v>78</v>
      </c>
      <c r="S13" s="91">
        <v>39</v>
      </c>
      <c r="T13" s="88"/>
      <c r="U13" s="86">
        <f t="shared" si="11"/>
        <v>144.5</v>
      </c>
      <c r="V13" s="18">
        <v>22</v>
      </c>
      <c r="W13" s="18">
        <v>24</v>
      </c>
      <c r="X13" s="18">
        <v>25</v>
      </c>
      <c r="Y13" s="18">
        <f>SUM(V13:X13)</f>
        <v>71</v>
      </c>
      <c r="Z13" s="18">
        <v>25</v>
      </c>
      <c r="AA13" s="18">
        <v>25</v>
      </c>
      <c r="AB13" s="18">
        <v>25</v>
      </c>
      <c r="AC13" s="18">
        <f>SUM(Z13:AB13)</f>
        <v>75</v>
      </c>
      <c r="AD13" s="18">
        <f t="shared" si="12"/>
        <v>146</v>
      </c>
      <c r="AE13" s="18">
        <f t="shared" si="13"/>
        <v>73</v>
      </c>
      <c r="AF13" s="18">
        <v>30</v>
      </c>
      <c r="AG13" s="18">
        <v>38</v>
      </c>
      <c r="AH13" s="18">
        <f>SUM(AF13:AG13)</f>
        <v>68</v>
      </c>
      <c r="AI13" s="18">
        <v>35</v>
      </c>
      <c r="AJ13" s="18">
        <v>40</v>
      </c>
      <c r="AK13" s="18">
        <f>SUM(AI13:AJ13)</f>
        <v>75</v>
      </c>
      <c r="AL13" s="18">
        <f t="shared" si="14"/>
        <v>65</v>
      </c>
      <c r="AM13" s="18">
        <f t="shared" si="15"/>
        <v>32.5</v>
      </c>
      <c r="AN13" s="18">
        <f t="shared" si="16"/>
        <v>78</v>
      </c>
      <c r="AO13" s="18">
        <f t="shared" si="17"/>
        <v>39</v>
      </c>
      <c r="AP13" s="26">
        <v>103</v>
      </c>
      <c r="AQ13" s="9" t="s">
        <v>398</v>
      </c>
    </row>
    <row r="14" spans="1:43" s="20" customFormat="1" ht="15.75" customHeight="1">
      <c r="A14" s="23"/>
      <c r="B14" s="10" t="s">
        <v>1236</v>
      </c>
      <c r="C14" s="22" t="s">
        <v>388</v>
      </c>
      <c r="D14" s="23">
        <v>143</v>
      </c>
      <c r="E14" s="70" t="s">
        <v>609</v>
      </c>
      <c r="F14" s="28" t="s">
        <v>30</v>
      </c>
      <c r="G14" s="18" t="s">
        <v>357</v>
      </c>
      <c r="H14" s="36">
        <v>66</v>
      </c>
      <c r="I14" s="36">
        <v>65</v>
      </c>
      <c r="J14" s="36">
        <v>131</v>
      </c>
      <c r="K14" s="89">
        <v>65.5</v>
      </c>
      <c r="L14" s="90">
        <v>50</v>
      </c>
      <c r="M14" s="90">
        <v>45</v>
      </c>
      <c r="N14" s="90">
        <v>95</v>
      </c>
      <c r="O14" s="91">
        <v>47.5</v>
      </c>
      <c r="P14" s="90">
        <v>48</v>
      </c>
      <c r="Q14" s="90">
        <v>40</v>
      </c>
      <c r="R14" s="90">
        <v>88</v>
      </c>
      <c r="S14" s="91">
        <v>44</v>
      </c>
      <c r="T14" s="88"/>
      <c r="U14" s="86">
        <f>SUM(K14,O14,S14)</f>
        <v>157</v>
      </c>
      <c r="V14" s="18">
        <v>22</v>
      </c>
      <c r="W14" s="18">
        <v>20</v>
      </c>
      <c r="X14" s="18">
        <v>24</v>
      </c>
      <c r="Y14" s="18">
        <f>SUM(V14:X14)</f>
        <v>66</v>
      </c>
      <c r="Z14" s="18">
        <v>20</v>
      </c>
      <c r="AA14" s="18">
        <v>20</v>
      </c>
      <c r="AB14" s="18">
        <v>25</v>
      </c>
      <c r="AC14" s="18">
        <f>SUM(Z14:AB14)</f>
        <v>65</v>
      </c>
      <c r="AD14" s="18">
        <f>SUM(Y14,AC14)</f>
        <v>131</v>
      </c>
      <c r="AE14" s="18">
        <f>AD14/2</f>
        <v>65.5</v>
      </c>
      <c r="AF14" s="18">
        <v>50</v>
      </c>
      <c r="AG14" s="18">
        <v>48</v>
      </c>
      <c r="AH14" s="18">
        <f>SUM(AF14:AG14)</f>
        <v>98</v>
      </c>
      <c r="AI14" s="18">
        <v>45</v>
      </c>
      <c r="AJ14" s="18">
        <v>40</v>
      </c>
      <c r="AK14" s="18">
        <f>SUM(AI14:AJ14)</f>
        <v>85</v>
      </c>
      <c r="AL14" s="18">
        <f>SUM(AF14,AI14)</f>
        <v>95</v>
      </c>
      <c r="AM14" s="18">
        <f>AL14/2</f>
        <v>47.5</v>
      </c>
      <c r="AN14" s="18">
        <f>SUM(AG14,AJ14)</f>
        <v>88</v>
      </c>
      <c r="AO14" s="18">
        <f>AN14/2</f>
        <v>44</v>
      </c>
      <c r="AP14" s="26">
        <v>60</v>
      </c>
      <c r="AQ14" s="29" t="s">
        <v>358</v>
      </c>
    </row>
    <row r="15" spans="1:43" s="20" customFormat="1" ht="15.75" customHeight="1">
      <c r="A15" s="23"/>
      <c r="B15" s="10" t="s">
        <v>369</v>
      </c>
      <c r="C15" s="22" t="s">
        <v>370</v>
      </c>
      <c r="D15" s="23">
        <v>369</v>
      </c>
      <c r="E15" s="70" t="s">
        <v>608</v>
      </c>
      <c r="F15" s="28" t="s">
        <v>29</v>
      </c>
      <c r="G15" s="18" t="s">
        <v>361</v>
      </c>
      <c r="H15" s="36">
        <v>64</v>
      </c>
      <c r="I15" s="36">
        <v>70</v>
      </c>
      <c r="J15" s="36">
        <v>134</v>
      </c>
      <c r="K15" s="89">
        <v>67</v>
      </c>
      <c r="L15" s="90">
        <v>50</v>
      </c>
      <c r="M15" s="90">
        <v>50</v>
      </c>
      <c r="N15" s="90">
        <v>100</v>
      </c>
      <c r="O15" s="91">
        <v>50</v>
      </c>
      <c r="P15" s="90">
        <v>50</v>
      </c>
      <c r="Q15" s="90">
        <v>49</v>
      </c>
      <c r="R15" s="90">
        <v>99</v>
      </c>
      <c r="S15" s="91">
        <v>49.5</v>
      </c>
      <c r="T15" s="88"/>
      <c r="U15" s="86">
        <f t="shared" si="0"/>
        <v>166.5</v>
      </c>
      <c r="V15" s="18">
        <v>22</v>
      </c>
      <c r="W15" s="18">
        <v>18</v>
      </c>
      <c r="X15" s="18">
        <v>24</v>
      </c>
      <c r="Y15" s="18">
        <f t="shared" si="1"/>
        <v>64</v>
      </c>
      <c r="Z15" s="18">
        <v>20</v>
      </c>
      <c r="AA15" s="18">
        <v>25</v>
      </c>
      <c r="AB15" s="18">
        <v>25</v>
      </c>
      <c r="AC15" s="18">
        <f t="shared" si="2"/>
        <v>70</v>
      </c>
      <c r="AD15" s="18">
        <f t="shared" si="3"/>
        <v>134</v>
      </c>
      <c r="AE15" s="18">
        <f t="shared" si="4"/>
        <v>67</v>
      </c>
      <c r="AF15" s="18">
        <v>50</v>
      </c>
      <c r="AG15" s="18">
        <v>50</v>
      </c>
      <c r="AH15" s="18">
        <f t="shared" si="5"/>
        <v>100</v>
      </c>
      <c r="AI15" s="18">
        <v>50</v>
      </c>
      <c r="AJ15" s="18">
        <v>49</v>
      </c>
      <c r="AK15" s="18">
        <f t="shared" si="6"/>
        <v>99</v>
      </c>
      <c r="AL15" s="18">
        <f t="shared" si="7"/>
        <v>100</v>
      </c>
      <c r="AM15" s="18">
        <f t="shared" si="8"/>
        <v>50</v>
      </c>
      <c r="AN15" s="18">
        <f t="shared" si="9"/>
        <v>99</v>
      </c>
      <c r="AO15" s="18">
        <f t="shared" si="10"/>
        <v>49.5</v>
      </c>
      <c r="AP15" s="26">
        <v>67</v>
      </c>
      <c r="AQ15" s="29" t="s">
        <v>371</v>
      </c>
    </row>
    <row r="16" spans="1:43" s="20" customFormat="1" ht="15.75" customHeight="1">
      <c r="A16" s="23"/>
      <c r="B16" s="10" t="s">
        <v>372</v>
      </c>
      <c r="C16" s="22" t="s">
        <v>373</v>
      </c>
      <c r="D16" s="23">
        <v>115</v>
      </c>
      <c r="E16" s="70" t="s">
        <v>603</v>
      </c>
      <c r="F16" s="24" t="s">
        <v>341</v>
      </c>
      <c r="G16" s="25" t="s">
        <v>30</v>
      </c>
      <c r="H16" s="60">
        <v>60</v>
      </c>
      <c r="I16" s="60">
        <v>76</v>
      </c>
      <c r="J16" s="60">
        <v>136</v>
      </c>
      <c r="K16" s="86">
        <v>68</v>
      </c>
      <c r="L16" s="87">
        <v>49</v>
      </c>
      <c r="M16" s="87">
        <v>47</v>
      </c>
      <c r="N16" s="87">
        <v>96</v>
      </c>
      <c r="O16" s="86">
        <v>48</v>
      </c>
      <c r="P16" s="87">
        <v>49</v>
      </c>
      <c r="Q16" s="87">
        <v>47</v>
      </c>
      <c r="R16" s="87">
        <v>96</v>
      </c>
      <c r="S16" s="86">
        <v>48</v>
      </c>
      <c r="T16" s="88"/>
      <c r="U16" s="86">
        <f t="shared" si="0"/>
        <v>164</v>
      </c>
      <c r="V16" s="18">
        <v>30</v>
      </c>
      <c r="W16" s="18">
        <v>20</v>
      </c>
      <c r="X16" s="18">
        <v>10</v>
      </c>
      <c r="Y16" s="18">
        <f t="shared" si="1"/>
        <v>60</v>
      </c>
      <c r="Z16" s="18">
        <v>33</v>
      </c>
      <c r="AA16" s="18">
        <v>33</v>
      </c>
      <c r="AB16" s="18">
        <v>10</v>
      </c>
      <c r="AC16" s="18">
        <f t="shared" si="2"/>
        <v>76</v>
      </c>
      <c r="AD16" s="18">
        <f t="shared" si="3"/>
        <v>136</v>
      </c>
      <c r="AE16" s="18">
        <f t="shared" si="4"/>
        <v>68</v>
      </c>
      <c r="AF16" s="18">
        <v>49</v>
      </c>
      <c r="AG16" s="18">
        <v>49</v>
      </c>
      <c r="AH16" s="18">
        <f t="shared" si="5"/>
        <v>98</v>
      </c>
      <c r="AI16" s="18">
        <v>47</v>
      </c>
      <c r="AJ16" s="18">
        <v>47</v>
      </c>
      <c r="AK16" s="18">
        <f t="shared" si="6"/>
        <v>94</v>
      </c>
      <c r="AL16" s="18">
        <f t="shared" si="7"/>
        <v>96</v>
      </c>
      <c r="AM16" s="18">
        <f t="shared" si="8"/>
        <v>48</v>
      </c>
      <c r="AN16" s="18">
        <f t="shared" si="9"/>
        <v>96</v>
      </c>
      <c r="AO16" s="18">
        <f t="shared" si="10"/>
        <v>48</v>
      </c>
      <c r="AP16" s="26">
        <v>47</v>
      </c>
      <c r="AQ16" s="27" t="s">
        <v>374</v>
      </c>
    </row>
    <row r="17" spans="1:43" s="20" customFormat="1" ht="15.75" customHeight="1">
      <c r="A17" s="23"/>
      <c r="B17" s="10" t="s">
        <v>379</v>
      </c>
      <c r="C17" s="22" t="s">
        <v>380</v>
      </c>
      <c r="D17" s="23">
        <v>359</v>
      </c>
      <c r="E17" s="70" t="s">
        <v>607</v>
      </c>
      <c r="F17" s="28" t="s">
        <v>28</v>
      </c>
      <c r="G17" s="18" t="s">
        <v>30</v>
      </c>
      <c r="H17" s="36">
        <v>50</v>
      </c>
      <c r="I17" s="36">
        <v>86</v>
      </c>
      <c r="J17" s="36">
        <v>136</v>
      </c>
      <c r="K17" s="89">
        <v>68</v>
      </c>
      <c r="L17" s="90">
        <v>45</v>
      </c>
      <c r="M17" s="90">
        <v>50</v>
      </c>
      <c r="N17" s="90">
        <v>95</v>
      </c>
      <c r="O17" s="91">
        <v>47.5</v>
      </c>
      <c r="P17" s="90">
        <v>45</v>
      </c>
      <c r="Q17" s="90">
        <v>49</v>
      </c>
      <c r="R17" s="90">
        <v>94</v>
      </c>
      <c r="S17" s="91">
        <v>47</v>
      </c>
      <c r="T17" s="88"/>
      <c r="U17" s="86">
        <f>SUM(K17,O17,S17)</f>
        <v>162.5</v>
      </c>
      <c r="V17" s="18">
        <v>20</v>
      </c>
      <c r="W17" s="18">
        <v>15</v>
      </c>
      <c r="X17" s="18">
        <v>15</v>
      </c>
      <c r="Y17" s="18">
        <f>SUM(V17:X17)</f>
        <v>50</v>
      </c>
      <c r="Z17" s="18">
        <v>30</v>
      </c>
      <c r="AA17" s="18">
        <v>28</v>
      </c>
      <c r="AB17" s="18">
        <v>28</v>
      </c>
      <c r="AC17" s="18">
        <f>SUM(Z17:AB17)</f>
        <v>86</v>
      </c>
      <c r="AD17" s="18">
        <f>SUM(Y17,AC17)</f>
        <v>136</v>
      </c>
      <c r="AE17" s="18">
        <f>AD17/2</f>
        <v>68</v>
      </c>
      <c r="AF17" s="18">
        <v>45</v>
      </c>
      <c r="AG17" s="18">
        <v>45</v>
      </c>
      <c r="AH17" s="18">
        <f>SUM(AF17:AG17)</f>
        <v>90</v>
      </c>
      <c r="AI17" s="18">
        <v>50</v>
      </c>
      <c r="AJ17" s="18">
        <v>49</v>
      </c>
      <c r="AK17" s="18">
        <f>SUM(AI17:AJ17)</f>
        <v>99</v>
      </c>
      <c r="AL17" s="18">
        <f>SUM(AF17,AI17)</f>
        <v>95</v>
      </c>
      <c r="AM17" s="18">
        <f>AL17/2</f>
        <v>47.5</v>
      </c>
      <c r="AN17" s="18">
        <f>SUM(AG17,AJ17)</f>
        <v>94</v>
      </c>
      <c r="AO17" s="18">
        <f>AN17/2</f>
        <v>47</v>
      </c>
      <c r="AP17" s="26">
        <v>44</v>
      </c>
      <c r="AQ17" s="29" t="s">
        <v>381</v>
      </c>
    </row>
    <row r="18" spans="1:43" s="20" customFormat="1" ht="15.75" customHeight="1">
      <c r="A18" s="23"/>
      <c r="B18" s="10" t="s">
        <v>385</v>
      </c>
      <c r="C18" s="22" t="s">
        <v>386</v>
      </c>
      <c r="D18" s="23">
        <v>415</v>
      </c>
      <c r="E18" s="70" t="s">
        <v>607</v>
      </c>
      <c r="F18" s="12" t="s">
        <v>341</v>
      </c>
      <c r="G18" s="18" t="s">
        <v>334</v>
      </c>
      <c r="H18" s="36">
        <v>63</v>
      </c>
      <c r="I18" s="36">
        <v>71</v>
      </c>
      <c r="J18" s="36">
        <v>134</v>
      </c>
      <c r="K18" s="89">
        <v>67</v>
      </c>
      <c r="L18" s="90">
        <v>45</v>
      </c>
      <c r="M18" s="90">
        <v>45</v>
      </c>
      <c r="N18" s="90">
        <v>90</v>
      </c>
      <c r="O18" s="91">
        <v>45</v>
      </c>
      <c r="P18" s="90">
        <v>45</v>
      </c>
      <c r="Q18" s="90">
        <v>45</v>
      </c>
      <c r="R18" s="90">
        <v>90</v>
      </c>
      <c r="S18" s="91">
        <v>45</v>
      </c>
      <c r="T18" s="88"/>
      <c r="U18" s="86">
        <f t="shared" si="0"/>
        <v>157</v>
      </c>
      <c r="V18" s="18">
        <v>25</v>
      </c>
      <c r="W18" s="18">
        <v>8</v>
      </c>
      <c r="X18" s="18">
        <v>30</v>
      </c>
      <c r="Y18" s="18">
        <f t="shared" si="1"/>
        <v>63</v>
      </c>
      <c r="Z18" s="18">
        <v>28</v>
      </c>
      <c r="AA18" s="18">
        <v>10</v>
      </c>
      <c r="AB18" s="18">
        <v>33</v>
      </c>
      <c r="AC18" s="18">
        <f t="shared" si="2"/>
        <v>71</v>
      </c>
      <c r="AD18" s="18">
        <f t="shared" si="3"/>
        <v>134</v>
      </c>
      <c r="AE18" s="18">
        <f t="shared" si="4"/>
        <v>67</v>
      </c>
      <c r="AF18" s="18">
        <v>45</v>
      </c>
      <c r="AG18" s="18">
        <v>45</v>
      </c>
      <c r="AH18" s="18">
        <f t="shared" si="5"/>
        <v>90</v>
      </c>
      <c r="AI18" s="18">
        <v>45</v>
      </c>
      <c r="AJ18" s="18">
        <v>45</v>
      </c>
      <c r="AK18" s="18">
        <f t="shared" si="6"/>
        <v>90</v>
      </c>
      <c r="AL18" s="18">
        <f t="shared" si="7"/>
        <v>90</v>
      </c>
      <c r="AM18" s="18">
        <f t="shared" si="8"/>
        <v>45</v>
      </c>
      <c r="AN18" s="18">
        <f t="shared" si="9"/>
        <v>90</v>
      </c>
      <c r="AO18" s="18">
        <f t="shared" si="10"/>
        <v>45</v>
      </c>
      <c r="AP18" s="26">
        <v>40</v>
      </c>
      <c r="AQ18" s="29" t="s">
        <v>387</v>
      </c>
    </row>
    <row r="19" spans="1:43" s="20" customFormat="1" ht="15.75" customHeight="1">
      <c r="A19" s="23"/>
      <c r="B19" s="10" t="s">
        <v>399</v>
      </c>
      <c r="C19" s="22" t="s">
        <v>400</v>
      </c>
      <c r="D19" s="23">
        <v>155</v>
      </c>
      <c r="E19" s="70" t="s">
        <v>605</v>
      </c>
      <c r="F19" s="28" t="s">
        <v>30</v>
      </c>
      <c r="G19" s="18" t="s">
        <v>397</v>
      </c>
      <c r="H19" s="36">
        <v>54</v>
      </c>
      <c r="I19" s="36">
        <v>70</v>
      </c>
      <c r="J19" s="36">
        <v>124</v>
      </c>
      <c r="K19" s="89">
        <v>62</v>
      </c>
      <c r="L19" s="90">
        <v>50</v>
      </c>
      <c r="M19" s="90">
        <v>45</v>
      </c>
      <c r="N19" s="90">
        <v>95</v>
      </c>
      <c r="O19" s="91">
        <v>47.5</v>
      </c>
      <c r="P19" s="90">
        <v>40</v>
      </c>
      <c r="Q19" s="90">
        <v>50</v>
      </c>
      <c r="R19" s="90">
        <v>90</v>
      </c>
      <c r="S19" s="91">
        <v>45</v>
      </c>
      <c r="T19" s="88"/>
      <c r="U19" s="86">
        <f t="shared" ref="U19:U25" si="18">SUM(K19,O19,S19)</f>
        <v>154.5</v>
      </c>
      <c r="V19" s="18">
        <v>17</v>
      </c>
      <c r="W19" s="18">
        <v>22</v>
      </c>
      <c r="X19" s="18">
        <v>15</v>
      </c>
      <c r="Y19" s="18">
        <f t="shared" ref="Y19:Y25" si="19">SUM(V19:X19)</f>
        <v>54</v>
      </c>
      <c r="Z19" s="18">
        <v>25</v>
      </c>
      <c r="AA19" s="18">
        <v>25</v>
      </c>
      <c r="AB19" s="18">
        <v>20</v>
      </c>
      <c r="AC19" s="18">
        <f t="shared" ref="AC19:AC25" si="20">SUM(Z19:AB19)</f>
        <v>70</v>
      </c>
      <c r="AD19" s="18">
        <f t="shared" ref="AD19:AD25" si="21">SUM(Y19,AC19)</f>
        <v>124</v>
      </c>
      <c r="AE19" s="18">
        <f t="shared" ref="AE19:AE25" si="22">AD19/2</f>
        <v>62</v>
      </c>
      <c r="AF19" s="18">
        <v>50</v>
      </c>
      <c r="AG19" s="18">
        <v>40</v>
      </c>
      <c r="AH19" s="18">
        <f t="shared" ref="AH19:AH25" si="23">SUM(AF19:AG19)</f>
        <v>90</v>
      </c>
      <c r="AI19" s="18">
        <v>45</v>
      </c>
      <c r="AJ19" s="18">
        <v>50</v>
      </c>
      <c r="AK19" s="18">
        <f t="shared" ref="AK19:AK25" si="24">SUM(AI19:AJ19)</f>
        <v>95</v>
      </c>
      <c r="AL19" s="18">
        <f t="shared" ref="AL19:AL25" si="25">SUM(AF19,AI19)</f>
        <v>95</v>
      </c>
      <c r="AM19" s="18">
        <f t="shared" ref="AM19:AM25" si="26">AL19/2</f>
        <v>47.5</v>
      </c>
      <c r="AN19" s="18">
        <f t="shared" ref="AN19:AN25" si="27">SUM(AG19,AJ19)</f>
        <v>90</v>
      </c>
      <c r="AO19" s="18">
        <f t="shared" ref="AO19:AO25" si="28">AN19/2</f>
        <v>45</v>
      </c>
      <c r="AP19" s="26">
        <v>26</v>
      </c>
      <c r="AQ19" s="29" t="s">
        <v>398</v>
      </c>
    </row>
    <row r="20" spans="1:43" s="20" customFormat="1">
      <c r="A20" s="23"/>
      <c r="B20" s="10" t="s">
        <v>407</v>
      </c>
      <c r="C20" s="22" t="s">
        <v>408</v>
      </c>
      <c r="D20" s="23">
        <v>67</v>
      </c>
      <c r="E20" s="70" t="s">
        <v>609</v>
      </c>
      <c r="F20" s="12" t="s">
        <v>341</v>
      </c>
      <c r="G20" s="18" t="s">
        <v>409</v>
      </c>
      <c r="H20" s="36">
        <v>58</v>
      </c>
      <c r="I20" s="36">
        <v>62</v>
      </c>
      <c r="J20" s="36">
        <v>120</v>
      </c>
      <c r="K20" s="89">
        <v>60</v>
      </c>
      <c r="L20" s="90">
        <v>48</v>
      </c>
      <c r="M20" s="90">
        <v>40</v>
      </c>
      <c r="N20" s="90">
        <v>88</v>
      </c>
      <c r="O20" s="91">
        <v>44</v>
      </c>
      <c r="P20" s="90">
        <v>48</v>
      </c>
      <c r="Q20" s="90">
        <v>45</v>
      </c>
      <c r="R20" s="90">
        <v>93</v>
      </c>
      <c r="S20" s="91">
        <v>46.5</v>
      </c>
      <c r="T20" s="88"/>
      <c r="U20" s="86">
        <f t="shared" si="18"/>
        <v>150.5</v>
      </c>
      <c r="V20" s="18">
        <v>33</v>
      </c>
      <c r="W20" s="18">
        <v>15</v>
      </c>
      <c r="X20" s="18">
        <v>10</v>
      </c>
      <c r="Y20" s="18">
        <f t="shared" si="19"/>
        <v>58</v>
      </c>
      <c r="Z20" s="18">
        <v>34</v>
      </c>
      <c r="AA20" s="18">
        <v>15</v>
      </c>
      <c r="AB20" s="18">
        <v>13</v>
      </c>
      <c r="AC20" s="18">
        <f t="shared" si="20"/>
        <v>62</v>
      </c>
      <c r="AD20" s="18">
        <f t="shared" si="21"/>
        <v>120</v>
      </c>
      <c r="AE20" s="18">
        <f t="shared" si="22"/>
        <v>60</v>
      </c>
      <c r="AF20" s="18">
        <v>48</v>
      </c>
      <c r="AG20" s="18">
        <v>48</v>
      </c>
      <c r="AH20" s="18">
        <f t="shared" si="23"/>
        <v>96</v>
      </c>
      <c r="AI20" s="18">
        <v>40</v>
      </c>
      <c r="AJ20" s="18">
        <v>45</v>
      </c>
      <c r="AK20" s="18">
        <f t="shared" si="24"/>
        <v>85</v>
      </c>
      <c r="AL20" s="18">
        <f t="shared" si="25"/>
        <v>88</v>
      </c>
      <c r="AM20" s="18">
        <f t="shared" si="26"/>
        <v>44</v>
      </c>
      <c r="AN20" s="18">
        <f t="shared" si="27"/>
        <v>93</v>
      </c>
      <c r="AO20" s="18">
        <f t="shared" si="28"/>
        <v>46.5</v>
      </c>
      <c r="AP20" s="26">
        <v>20</v>
      </c>
      <c r="AQ20" s="30" t="s">
        <v>410</v>
      </c>
    </row>
    <row r="21" spans="1:43" s="20" customFormat="1" ht="15.75" customHeight="1">
      <c r="A21" s="23"/>
      <c r="B21" s="10" t="s">
        <v>420</v>
      </c>
      <c r="C21" s="22" t="s">
        <v>421</v>
      </c>
      <c r="D21" s="23">
        <v>121</v>
      </c>
      <c r="E21" s="70" t="s">
        <v>609</v>
      </c>
      <c r="F21" s="28" t="s">
        <v>30</v>
      </c>
      <c r="G21" s="18" t="s">
        <v>422</v>
      </c>
      <c r="H21" s="36">
        <v>54</v>
      </c>
      <c r="I21" s="36">
        <v>70</v>
      </c>
      <c r="J21" s="36">
        <v>124</v>
      </c>
      <c r="K21" s="89">
        <v>62</v>
      </c>
      <c r="L21" s="90">
        <v>50</v>
      </c>
      <c r="M21" s="90">
        <v>21</v>
      </c>
      <c r="N21" s="90">
        <v>71</v>
      </c>
      <c r="O21" s="91">
        <v>35.5</v>
      </c>
      <c r="P21" s="90">
        <v>48</v>
      </c>
      <c r="Q21" s="90">
        <v>50</v>
      </c>
      <c r="R21" s="90">
        <v>98</v>
      </c>
      <c r="S21" s="91">
        <v>49</v>
      </c>
      <c r="T21" s="88"/>
      <c r="U21" s="86">
        <f t="shared" si="18"/>
        <v>146.5</v>
      </c>
      <c r="V21" s="18">
        <v>24</v>
      </c>
      <c r="W21" s="18">
        <v>20</v>
      </c>
      <c r="X21" s="18">
        <v>10</v>
      </c>
      <c r="Y21" s="18">
        <f t="shared" si="19"/>
        <v>54</v>
      </c>
      <c r="Z21" s="18">
        <v>30</v>
      </c>
      <c r="AA21" s="18">
        <v>25</v>
      </c>
      <c r="AB21" s="18">
        <v>15</v>
      </c>
      <c r="AC21" s="18">
        <f t="shared" si="20"/>
        <v>70</v>
      </c>
      <c r="AD21" s="18">
        <f t="shared" si="21"/>
        <v>124</v>
      </c>
      <c r="AE21" s="18">
        <f t="shared" si="22"/>
        <v>62</v>
      </c>
      <c r="AF21" s="18">
        <v>50</v>
      </c>
      <c r="AG21" s="18">
        <v>48</v>
      </c>
      <c r="AH21" s="18">
        <f t="shared" si="23"/>
        <v>98</v>
      </c>
      <c r="AI21" s="18">
        <v>21</v>
      </c>
      <c r="AJ21" s="18">
        <v>50</v>
      </c>
      <c r="AK21" s="18">
        <f t="shared" si="24"/>
        <v>71</v>
      </c>
      <c r="AL21" s="18">
        <f t="shared" si="25"/>
        <v>71</v>
      </c>
      <c r="AM21" s="18">
        <f t="shared" si="26"/>
        <v>35.5</v>
      </c>
      <c r="AN21" s="18">
        <f t="shared" si="27"/>
        <v>98</v>
      </c>
      <c r="AO21" s="18">
        <f t="shared" si="28"/>
        <v>49</v>
      </c>
      <c r="AP21" s="26">
        <v>16</v>
      </c>
      <c r="AQ21" s="29" t="s">
        <v>423</v>
      </c>
    </row>
    <row r="22" spans="1:43" s="20" customFormat="1">
      <c r="A22" s="23"/>
      <c r="B22" s="10" t="s">
        <v>433</v>
      </c>
      <c r="C22" s="22" t="s">
        <v>434</v>
      </c>
      <c r="D22" s="23">
        <v>117</v>
      </c>
      <c r="E22" s="70" t="s">
        <v>604</v>
      </c>
      <c r="F22" s="28" t="s">
        <v>30</v>
      </c>
      <c r="G22" s="18" t="s">
        <v>422</v>
      </c>
      <c r="H22" s="36">
        <v>60</v>
      </c>
      <c r="I22" s="36">
        <v>70</v>
      </c>
      <c r="J22" s="36">
        <v>130</v>
      </c>
      <c r="K22" s="89">
        <v>65</v>
      </c>
      <c r="L22" s="90">
        <v>40</v>
      </c>
      <c r="M22" s="90">
        <v>40</v>
      </c>
      <c r="N22" s="90">
        <v>80</v>
      </c>
      <c r="O22" s="91">
        <v>40</v>
      </c>
      <c r="P22" s="90">
        <v>40</v>
      </c>
      <c r="Q22" s="90">
        <v>40</v>
      </c>
      <c r="R22" s="90">
        <v>80</v>
      </c>
      <c r="S22" s="91">
        <v>40</v>
      </c>
      <c r="T22" s="88"/>
      <c r="U22" s="86">
        <f t="shared" si="18"/>
        <v>145</v>
      </c>
      <c r="V22" s="18">
        <v>20</v>
      </c>
      <c r="W22" s="18">
        <v>22</v>
      </c>
      <c r="X22" s="18">
        <v>18</v>
      </c>
      <c r="Y22" s="18">
        <f t="shared" si="19"/>
        <v>60</v>
      </c>
      <c r="Z22" s="18">
        <v>25</v>
      </c>
      <c r="AA22" s="18">
        <v>25</v>
      </c>
      <c r="AB22" s="18">
        <v>20</v>
      </c>
      <c r="AC22" s="18">
        <f t="shared" si="20"/>
        <v>70</v>
      </c>
      <c r="AD22" s="18">
        <f t="shared" si="21"/>
        <v>130</v>
      </c>
      <c r="AE22" s="18">
        <f t="shared" si="22"/>
        <v>65</v>
      </c>
      <c r="AF22" s="18">
        <v>40</v>
      </c>
      <c r="AG22" s="18">
        <v>40</v>
      </c>
      <c r="AH22" s="18">
        <f t="shared" si="23"/>
        <v>80</v>
      </c>
      <c r="AI22" s="18">
        <v>40</v>
      </c>
      <c r="AJ22" s="18">
        <v>40</v>
      </c>
      <c r="AK22" s="18">
        <f t="shared" si="24"/>
        <v>80</v>
      </c>
      <c r="AL22" s="18">
        <f t="shared" si="25"/>
        <v>80</v>
      </c>
      <c r="AM22" s="18">
        <f t="shared" si="26"/>
        <v>40</v>
      </c>
      <c r="AN22" s="18">
        <f t="shared" si="27"/>
        <v>80</v>
      </c>
      <c r="AO22" s="18">
        <f t="shared" si="28"/>
        <v>40</v>
      </c>
      <c r="AP22" s="26">
        <v>94</v>
      </c>
      <c r="AQ22" s="9" t="s">
        <v>423</v>
      </c>
    </row>
    <row r="23" spans="1:43" s="20" customFormat="1" ht="15.75" customHeight="1">
      <c r="A23" s="23"/>
      <c r="B23" s="10" t="s">
        <v>464</v>
      </c>
      <c r="C23" s="22" t="s">
        <v>465</v>
      </c>
      <c r="D23" s="23">
        <v>433</v>
      </c>
      <c r="E23" s="70" t="s">
        <v>606</v>
      </c>
      <c r="F23" s="28" t="s">
        <v>30</v>
      </c>
      <c r="G23" s="18" t="s">
        <v>397</v>
      </c>
      <c r="H23" s="36">
        <v>70</v>
      </c>
      <c r="I23" s="36">
        <v>65</v>
      </c>
      <c r="J23" s="36">
        <v>135</v>
      </c>
      <c r="K23" s="89">
        <v>67.5</v>
      </c>
      <c r="L23" s="90">
        <v>35</v>
      </c>
      <c r="M23" s="90">
        <v>45</v>
      </c>
      <c r="N23" s="90">
        <v>80</v>
      </c>
      <c r="O23" s="91">
        <v>40</v>
      </c>
      <c r="P23" s="90">
        <v>30</v>
      </c>
      <c r="Q23" s="90">
        <v>30</v>
      </c>
      <c r="R23" s="90">
        <v>60</v>
      </c>
      <c r="S23" s="91">
        <v>30</v>
      </c>
      <c r="T23" s="88"/>
      <c r="U23" s="86">
        <f t="shared" si="18"/>
        <v>137.5</v>
      </c>
      <c r="V23" s="18">
        <v>20</v>
      </c>
      <c r="W23" s="18">
        <v>25</v>
      </c>
      <c r="X23" s="18">
        <v>25</v>
      </c>
      <c r="Y23" s="18">
        <f t="shared" si="19"/>
        <v>70</v>
      </c>
      <c r="Z23" s="18">
        <v>20</v>
      </c>
      <c r="AA23" s="18">
        <v>25</v>
      </c>
      <c r="AB23" s="18">
        <v>20</v>
      </c>
      <c r="AC23" s="18">
        <f t="shared" si="20"/>
        <v>65</v>
      </c>
      <c r="AD23" s="18">
        <f t="shared" si="21"/>
        <v>135</v>
      </c>
      <c r="AE23" s="18">
        <f t="shared" si="22"/>
        <v>67.5</v>
      </c>
      <c r="AF23" s="18">
        <v>35</v>
      </c>
      <c r="AG23" s="18">
        <v>30</v>
      </c>
      <c r="AH23" s="18">
        <f t="shared" si="23"/>
        <v>65</v>
      </c>
      <c r="AI23" s="18">
        <v>45</v>
      </c>
      <c r="AJ23" s="18">
        <v>30</v>
      </c>
      <c r="AK23" s="18">
        <f t="shared" si="24"/>
        <v>75</v>
      </c>
      <c r="AL23" s="18">
        <f t="shared" si="25"/>
        <v>80</v>
      </c>
      <c r="AM23" s="18">
        <f t="shared" si="26"/>
        <v>40</v>
      </c>
      <c r="AN23" s="18">
        <f t="shared" si="27"/>
        <v>60</v>
      </c>
      <c r="AO23" s="18">
        <f t="shared" si="28"/>
        <v>30</v>
      </c>
      <c r="AP23" s="26">
        <v>50</v>
      </c>
      <c r="AQ23" s="29" t="s">
        <v>398</v>
      </c>
    </row>
    <row r="24" spans="1:43" s="20" customFormat="1" ht="15.75" customHeight="1">
      <c r="A24" s="23"/>
      <c r="B24" s="10" t="s">
        <v>1237</v>
      </c>
      <c r="C24" s="22" t="s">
        <v>517</v>
      </c>
      <c r="D24" s="23">
        <v>81</v>
      </c>
      <c r="E24" s="70" t="s">
        <v>603</v>
      </c>
      <c r="F24" s="41" t="s">
        <v>30</v>
      </c>
      <c r="G24" s="27" t="s">
        <v>1320</v>
      </c>
      <c r="H24" s="63">
        <v>65</v>
      </c>
      <c r="I24" s="63">
        <v>65</v>
      </c>
      <c r="J24" s="63">
        <v>130</v>
      </c>
      <c r="K24" s="94">
        <v>65</v>
      </c>
      <c r="L24" s="95">
        <v>30</v>
      </c>
      <c r="M24" s="95">
        <v>20</v>
      </c>
      <c r="N24" s="95">
        <v>50</v>
      </c>
      <c r="O24" s="96">
        <v>25</v>
      </c>
      <c r="P24" s="95">
        <v>35</v>
      </c>
      <c r="Q24" s="95">
        <v>30</v>
      </c>
      <c r="R24" s="95">
        <v>65</v>
      </c>
      <c r="S24" s="96">
        <v>32.5</v>
      </c>
      <c r="T24" s="88"/>
      <c r="U24" s="86">
        <f t="shared" si="18"/>
        <v>122.5</v>
      </c>
      <c r="V24" s="18">
        <v>23</v>
      </c>
      <c r="W24" s="18">
        <v>20</v>
      </c>
      <c r="X24" s="18">
        <v>22</v>
      </c>
      <c r="Y24" s="18">
        <f t="shared" si="19"/>
        <v>65</v>
      </c>
      <c r="Z24" s="18">
        <v>20</v>
      </c>
      <c r="AA24" s="18">
        <v>20</v>
      </c>
      <c r="AB24" s="18">
        <v>25</v>
      </c>
      <c r="AC24" s="18">
        <f t="shared" si="20"/>
        <v>65</v>
      </c>
      <c r="AD24" s="18">
        <f t="shared" si="21"/>
        <v>130</v>
      </c>
      <c r="AE24" s="18">
        <f t="shared" si="22"/>
        <v>65</v>
      </c>
      <c r="AF24" s="18">
        <v>30</v>
      </c>
      <c r="AG24" s="18">
        <v>35</v>
      </c>
      <c r="AH24" s="18">
        <f t="shared" si="23"/>
        <v>65</v>
      </c>
      <c r="AI24" s="18">
        <v>20</v>
      </c>
      <c r="AJ24" s="18">
        <v>30</v>
      </c>
      <c r="AK24" s="18">
        <f t="shared" si="24"/>
        <v>50</v>
      </c>
      <c r="AL24" s="18">
        <f t="shared" si="25"/>
        <v>50</v>
      </c>
      <c r="AM24" s="18">
        <f t="shared" si="26"/>
        <v>25</v>
      </c>
      <c r="AN24" s="18">
        <f t="shared" si="27"/>
        <v>65</v>
      </c>
      <c r="AO24" s="18">
        <f t="shared" si="28"/>
        <v>32.5</v>
      </c>
      <c r="AP24" s="26">
        <v>42</v>
      </c>
      <c r="AQ24" s="27" t="s">
        <v>518</v>
      </c>
    </row>
    <row r="25" spans="1:43" s="20" customFormat="1">
      <c r="A25" s="23"/>
      <c r="B25" s="10" t="s">
        <v>382</v>
      </c>
      <c r="C25" s="22" t="s">
        <v>383</v>
      </c>
      <c r="D25" s="23">
        <v>360</v>
      </c>
      <c r="E25" s="70" t="s">
        <v>607</v>
      </c>
      <c r="F25" s="28" t="s">
        <v>28</v>
      </c>
      <c r="G25" s="18" t="s">
        <v>30</v>
      </c>
      <c r="H25" s="36">
        <v>38</v>
      </c>
      <c r="I25" s="36">
        <v>79</v>
      </c>
      <c r="J25" s="36">
        <v>117</v>
      </c>
      <c r="K25" s="89">
        <v>58.5</v>
      </c>
      <c r="L25" s="90">
        <v>50</v>
      </c>
      <c r="M25" s="90">
        <v>50</v>
      </c>
      <c r="N25" s="90">
        <v>100</v>
      </c>
      <c r="O25" s="91">
        <v>50</v>
      </c>
      <c r="P25" s="90">
        <v>50</v>
      </c>
      <c r="Q25" s="90">
        <v>49</v>
      </c>
      <c r="R25" s="90">
        <v>99</v>
      </c>
      <c r="S25" s="91">
        <v>49.5</v>
      </c>
      <c r="T25" s="88"/>
      <c r="U25" s="86">
        <f t="shared" si="18"/>
        <v>158</v>
      </c>
      <c r="V25" s="18">
        <v>18</v>
      </c>
      <c r="W25" s="18">
        <v>10</v>
      </c>
      <c r="X25" s="18">
        <v>10</v>
      </c>
      <c r="Y25" s="18">
        <f t="shared" si="19"/>
        <v>38</v>
      </c>
      <c r="Z25" s="18">
        <v>32</v>
      </c>
      <c r="AA25" s="18">
        <v>32</v>
      </c>
      <c r="AB25" s="18">
        <v>15</v>
      </c>
      <c r="AC25" s="18">
        <f t="shared" si="20"/>
        <v>79</v>
      </c>
      <c r="AD25" s="18">
        <f t="shared" si="21"/>
        <v>117</v>
      </c>
      <c r="AE25" s="18">
        <f t="shared" si="22"/>
        <v>58.5</v>
      </c>
      <c r="AF25" s="18">
        <v>50</v>
      </c>
      <c r="AG25" s="18">
        <v>50</v>
      </c>
      <c r="AH25" s="18">
        <f t="shared" si="23"/>
        <v>100</v>
      </c>
      <c r="AI25" s="18">
        <v>50</v>
      </c>
      <c r="AJ25" s="18">
        <v>49</v>
      </c>
      <c r="AK25" s="18">
        <f t="shared" si="24"/>
        <v>99</v>
      </c>
      <c r="AL25" s="18">
        <f t="shared" si="25"/>
        <v>100</v>
      </c>
      <c r="AM25" s="18">
        <f t="shared" si="26"/>
        <v>50</v>
      </c>
      <c r="AN25" s="18">
        <f t="shared" si="27"/>
        <v>99</v>
      </c>
      <c r="AO25" s="18">
        <f t="shared" si="28"/>
        <v>49.5</v>
      </c>
      <c r="AP25" s="26">
        <v>70</v>
      </c>
      <c r="AQ25" s="29" t="s">
        <v>384</v>
      </c>
    </row>
    <row r="26" spans="1:43" s="20" customFormat="1" ht="15.75" customHeight="1">
      <c r="A26" s="23"/>
      <c r="B26" s="10" t="s">
        <v>1238</v>
      </c>
      <c r="C26" s="22" t="s">
        <v>389</v>
      </c>
      <c r="D26" s="23">
        <v>74</v>
      </c>
      <c r="E26" s="70" t="s">
        <v>609</v>
      </c>
      <c r="F26" s="28" t="s">
        <v>28</v>
      </c>
      <c r="G26" s="18" t="s">
        <v>329</v>
      </c>
      <c r="H26" s="36">
        <v>50</v>
      </c>
      <c r="I26" s="36">
        <v>64</v>
      </c>
      <c r="J26" s="36">
        <v>114</v>
      </c>
      <c r="K26" s="89">
        <v>57</v>
      </c>
      <c r="L26" s="90">
        <v>50</v>
      </c>
      <c r="M26" s="90">
        <v>50</v>
      </c>
      <c r="N26" s="90">
        <v>100</v>
      </c>
      <c r="O26" s="91">
        <v>50</v>
      </c>
      <c r="P26" s="90">
        <v>50</v>
      </c>
      <c r="Q26" s="90">
        <v>49</v>
      </c>
      <c r="R26" s="90">
        <v>99</v>
      </c>
      <c r="S26" s="91">
        <v>49.5</v>
      </c>
      <c r="T26" s="88"/>
      <c r="U26" s="86">
        <f t="shared" si="0"/>
        <v>156.5</v>
      </c>
      <c r="V26" s="18">
        <v>20</v>
      </c>
      <c r="W26" s="18">
        <v>10</v>
      </c>
      <c r="X26" s="18">
        <v>20</v>
      </c>
      <c r="Y26" s="18">
        <f t="shared" si="1"/>
        <v>50</v>
      </c>
      <c r="Z26" s="18">
        <v>30</v>
      </c>
      <c r="AA26" s="18">
        <v>12</v>
      </c>
      <c r="AB26" s="18">
        <v>22</v>
      </c>
      <c r="AC26" s="18">
        <f t="shared" si="2"/>
        <v>64</v>
      </c>
      <c r="AD26" s="18">
        <f t="shared" si="3"/>
        <v>114</v>
      </c>
      <c r="AE26" s="18">
        <f t="shared" si="4"/>
        <v>57</v>
      </c>
      <c r="AF26" s="18">
        <v>50</v>
      </c>
      <c r="AG26" s="18">
        <v>50</v>
      </c>
      <c r="AH26" s="18">
        <f t="shared" si="5"/>
        <v>100</v>
      </c>
      <c r="AI26" s="18">
        <v>50</v>
      </c>
      <c r="AJ26" s="18">
        <v>49</v>
      </c>
      <c r="AK26" s="18">
        <f t="shared" si="6"/>
        <v>99</v>
      </c>
      <c r="AL26" s="18">
        <f t="shared" si="7"/>
        <v>100</v>
      </c>
      <c r="AM26" s="18">
        <f t="shared" si="8"/>
        <v>50</v>
      </c>
      <c r="AN26" s="18">
        <f t="shared" si="9"/>
        <v>99</v>
      </c>
      <c r="AO26" s="18">
        <f t="shared" si="10"/>
        <v>49.5</v>
      </c>
      <c r="AP26" s="26">
        <v>78</v>
      </c>
      <c r="AQ26" s="29" t="s">
        <v>390</v>
      </c>
    </row>
    <row r="27" spans="1:43" s="20" customFormat="1" ht="15.75" customHeight="1">
      <c r="A27" s="23"/>
      <c r="B27" s="10" t="s">
        <v>391</v>
      </c>
      <c r="C27" s="22" t="s">
        <v>392</v>
      </c>
      <c r="D27" s="23">
        <v>27</v>
      </c>
      <c r="E27" s="70" t="s">
        <v>609</v>
      </c>
      <c r="F27" s="28" t="s">
        <v>30</v>
      </c>
      <c r="G27" s="18" t="s">
        <v>393</v>
      </c>
      <c r="H27" s="36">
        <v>52</v>
      </c>
      <c r="I27" s="36">
        <v>60</v>
      </c>
      <c r="J27" s="36">
        <v>112</v>
      </c>
      <c r="K27" s="89">
        <v>56</v>
      </c>
      <c r="L27" s="90">
        <v>50</v>
      </c>
      <c r="M27" s="90">
        <v>50</v>
      </c>
      <c r="N27" s="90">
        <v>100</v>
      </c>
      <c r="O27" s="91">
        <v>50</v>
      </c>
      <c r="P27" s="90">
        <v>50</v>
      </c>
      <c r="Q27" s="90">
        <v>50</v>
      </c>
      <c r="R27" s="90">
        <v>100</v>
      </c>
      <c r="S27" s="91">
        <v>50</v>
      </c>
      <c r="T27" s="88"/>
      <c r="U27" s="86">
        <f t="shared" si="0"/>
        <v>156</v>
      </c>
      <c r="V27" s="18">
        <v>20</v>
      </c>
      <c r="W27" s="18">
        <v>10</v>
      </c>
      <c r="X27" s="18">
        <v>22</v>
      </c>
      <c r="Y27" s="18">
        <f t="shared" si="1"/>
        <v>52</v>
      </c>
      <c r="Z27" s="18">
        <v>30</v>
      </c>
      <c r="AA27" s="18">
        <v>10</v>
      </c>
      <c r="AB27" s="18">
        <v>20</v>
      </c>
      <c r="AC27" s="18">
        <f t="shared" si="2"/>
        <v>60</v>
      </c>
      <c r="AD27" s="18">
        <f t="shared" si="3"/>
        <v>112</v>
      </c>
      <c r="AE27" s="18">
        <f t="shared" si="4"/>
        <v>56</v>
      </c>
      <c r="AF27" s="18">
        <v>50</v>
      </c>
      <c r="AG27" s="18">
        <v>50</v>
      </c>
      <c r="AH27" s="18">
        <f t="shared" si="5"/>
        <v>100</v>
      </c>
      <c r="AI27" s="18">
        <v>50</v>
      </c>
      <c r="AJ27" s="18">
        <v>50</v>
      </c>
      <c r="AK27" s="18">
        <f t="shared" si="6"/>
        <v>100</v>
      </c>
      <c r="AL27" s="18">
        <f t="shared" si="7"/>
        <v>100</v>
      </c>
      <c r="AM27" s="18">
        <f t="shared" si="8"/>
        <v>50</v>
      </c>
      <c r="AN27" s="18">
        <f t="shared" si="9"/>
        <v>100</v>
      </c>
      <c r="AO27" s="18">
        <f t="shared" si="10"/>
        <v>50</v>
      </c>
      <c r="AP27" s="26">
        <v>8</v>
      </c>
      <c r="AQ27" s="29" t="s">
        <v>394</v>
      </c>
    </row>
    <row r="28" spans="1:43" s="20" customFormat="1" ht="15.75" customHeight="1">
      <c r="A28" s="23"/>
      <c r="B28" s="10" t="s">
        <v>401</v>
      </c>
      <c r="C28" s="22" t="s">
        <v>402</v>
      </c>
      <c r="D28" s="23">
        <v>142</v>
      </c>
      <c r="E28" s="70" t="s">
        <v>608</v>
      </c>
      <c r="F28" s="28" t="s">
        <v>30</v>
      </c>
      <c r="G28" s="18" t="s">
        <v>393</v>
      </c>
      <c r="H28" s="36">
        <v>58</v>
      </c>
      <c r="I28" s="36">
        <v>60</v>
      </c>
      <c r="J28" s="36">
        <v>118</v>
      </c>
      <c r="K28" s="89">
        <v>59</v>
      </c>
      <c r="L28" s="90">
        <v>45</v>
      </c>
      <c r="M28" s="90">
        <v>50</v>
      </c>
      <c r="N28" s="90">
        <v>95</v>
      </c>
      <c r="O28" s="91">
        <v>47.5</v>
      </c>
      <c r="P28" s="90">
        <v>45</v>
      </c>
      <c r="Q28" s="90">
        <v>50</v>
      </c>
      <c r="R28" s="90">
        <v>95</v>
      </c>
      <c r="S28" s="91">
        <v>47.5</v>
      </c>
      <c r="T28" s="88"/>
      <c r="U28" s="86">
        <f t="shared" si="0"/>
        <v>154</v>
      </c>
      <c r="V28" s="18">
        <v>23</v>
      </c>
      <c r="W28" s="18">
        <v>15</v>
      </c>
      <c r="X28" s="18">
        <v>20</v>
      </c>
      <c r="Y28" s="18">
        <f t="shared" si="1"/>
        <v>58</v>
      </c>
      <c r="Z28" s="18">
        <v>25</v>
      </c>
      <c r="AA28" s="18">
        <v>20</v>
      </c>
      <c r="AB28" s="18">
        <v>15</v>
      </c>
      <c r="AC28" s="18">
        <f t="shared" si="2"/>
        <v>60</v>
      </c>
      <c r="AD28" s="18">
        <f t="shared" si="3"/>
        <v>118</v>
      </c>
      <c r="AE28" s="18">
        <f t="shared" si="4"/>
        <v>59</v>
      </c>
      <c r="AF28" s="18">
        <v>45</v>
      </c>
      <c r="AG28" s="18">
        <v>45</v>
      </c>
      <c r="AH28" s="18">
        <f t="shared" si="5"/>
        <v>90</v>
      </c>
      <c r="AI28" s="18">
        <v>50</v>
      </c>
      <c r="AJ28" s="18">
        <v>50</v>
      </c>
      <c r="AK28" s="18">
        <f t="shared" si="6"/>
        <v>100</v>
      </c>
      <c r="AL28" s="18">
        <f t="shared" si="7"/>
        <v>95</v>
      </c>
      <c r="AM28" s="18">
        <f t="shared" si="8"/>
        <v>47.5</v>
      </c>
      <c r="AN28" s="18">
        <f t="shared" si="9"/>
        <v>95</v>
      </c>
      <c r="AO28" s="18">
        <f t="shared" si="10"/>
        <v>47.5</v>
      </c>
      <c r="AP28" s="26">
        <v>28</v>
      </c>
      <c r="AQ28" s="30" t="s">
        <v>403</v>
      </c>
    </row>
    <row r="29" spans="1:43" s="20" customFormat="1">
      <c r="A29" s="23"/>
      <c r="B29" s="10" t="s">
        <v>404</v>
      </c>
      <c r="C29" s="22" t="s">
        <v>405</v>
      </c>
      <c r="D29" s="23">
        <v>87</v>
      </c>
      <c r="E29" s="70" t="s">
        <v>605</v>
      </c>
      <c r="F29" s="12" t="s">
        <v>341</v>
      </c>
      <c r="G29" s="18" t="s">
        <v>28</v>
      </c>
      <c r="H29" s="36">
        <v>63</v>
      </c>
      <c r="I29" s="36">
        <v>55</v>
      </c>
      <c r="J29" s="36">
        <v>118</v>
      </c>
      <c r="K29" s="89">
        <v>59</v>
      </c>
      <c r="L29" s="90">
        <v>48</v>
      </c>
      <c r="M29" s="90">
        <v>45</v>
      </c>
      <c r="N29" s="90">
        <v>93</v>
      </c>
      <c r="O29" s="91">
        <v>46.5</v>
      </c>
      <c r="P29" s="90">
        <v>48</v>
      </c>
      <c r="Q29" s="90">
        <v>45</v>
      </c>
      <c r="R29" s="90">
        <v>93</v>
      </c>
      <c r="S29" s="91">
        <v>46.5</v>
      </c>
      <c r="T29" s="88"/>
      <c r="U29" s="86">
        <f t="shared" si="0"/>
        <v>152</v>
      </c>
      <c r="V29" s="18">
        <v>20</v>
      </c>
      <c r="W29" s="18">
        <v>25</v>
      </c>
      <c r="X29" s="18">
        <v>18</v>
      </c>
      <c r="Y29" s="18">
        <f t="shared" si="1"/>
        <v>63</v>
      </c>
      <c r="Z29" s="18">
        <v>20</v>
      </c>
      <c r="AA29" s="18">
        <v>20</v>
      </c>
      <c r="AB29" s="18">
        <v>15</v>
      </c>
      <c r="AC29" s="18">
        <f t="shared" si="2"/>
        <v>55</v>
      </c>
      <c r="AD29" s="18">
        <f t="shared" si="3"/>
        <v>118</v>
      </c>
      <c r="AE29" s="18">
        <f t="shared" si="4"/>
        <v>59</v>
      </c>
      <c r="AF29" s="18">
        <v>48</v>
      </c>
      <c r="AG29" s="18">
        <v>48</v>
      </c>
      <c r="AH29" s="18">
        <f t="shared" si="5"/>
        <v>96</v>
      </c>
      <c r="AI29" s="18">
        <v>45</v>
      </c>
      <c r="AJ29" s="18">
        <v>45</v>
      </c>
      <c r="AK29" s="18">
        <f t="shared" si="6"/>
        <v>90</v>
      </c>
      <c r="AL29" s="18">
        <f t="shared" si="7"/>
        <v>93</v>
      </c>
      <c r="AM29" s="18">
        <f t="shared" si="8"/>
        <v>46.5</v>
      </c>
      <c r="AN29" s="18">
        <f t="shared" si="9"/>
        <v>93</v>
      </c>
      <c r="AO29" s="18">
        <f t="shared" si="10"/>
        <v>46.5</v>
      </c>
      <c r="AP29" s="26">
        <v>24</v>
      </c>
      <c r="AQ29" s="29" t="s">
        <v>406</v>
      </c>
    </row>
    <row r="30" spans="1:43" s="20" customFormat="1" ht="15.75" customHeight="1">
      <c r="A30" s="23"/>
      <c r="B30" s="10" t="s">
        <v>1239</v>
      </c>
      <c r="C30" s="22" t="s">
        <v>412</v>
      </c>
      <c r="D30" s="23">
        <v>30</v>
      </c>
      <c r="E30" s="70" t="s">
        <v>609</v>
      </c>
      <c r="F30" s="12" t="s">
        <v>341</v>
      </c>
      <c r="G30" s="18" t="s">
        <v>329</v>
      </c>
      <c r="H30" s="36">
        <v>58</v>
      </c>
      <c r="I30" s="36">
        <v>58</v>
      </c>
      <c r="J30" s="36">
        <v>116</v>
      </c>
      <c r="K30" s="89">
        <v>58</v>
      </c>
      <c r="L30" s="90">
        <v>45</v>
      </c>
      <c r="M30" s="90">
        <v>45</v>
      </c>
      <c r="N30" s="90">
        <v>90</v>
      </c>
      <c r="O30" s="91">
        <v>45</v>
      </c>
      <c r="P30" s="90">
        <v>45</v>
      </c>
      <c r="Q30" s="90">
        <v>45</v>
      </c>
      <c r="R30" s="90">
        <v>90</v>
      </c>
      <c r="S30" s="91">
        <v>45</v>
      </c>
      <c r="T30" s="88"/>
      <c r="U30" s="86">
        <f t="shared" si="0"/>
        <v>148</v>
      </c>
      <c r="V30" s="18">
        <v>33</v>
      </c>
      <c r="W30" s="18">
        <v>15</v>
      </c>
      <c r="X30" s="18">
        <v>10</v>
      </c>
      <c r="Y30" s="18">
        <f t="shared" si="1"/>
        <v>58</v>
      </c>
      <c r="Z30" s="18">
        <v>34</v>
      </c>
      <c r="AA30" s="18">
        <v>12</v>
      </c>
      <c r="AB30" s="18">
        <v>12</v>
      </c>
      <c r="AC30" s="18">
        <f t="shared" si="2"/>
        <v>58</v>
      </c>
      <c r="AD30" s="18">
        <f t="shared" si="3"/>
        <v>116</v>
      </c>
      <c r="AE30" s="18">
        <f t="shared" si="4"/>
        <v>58</v>
      </c>
      <c r="AF30" s="18">
        <v>45</v>
      </c>
      <c r="AG30" s="18">
        <v>45</v>
      </c>
      <c r="AH30" s="18">
        <f t="shared" si="5"/>
        <v>90</v>
      </c>
      <c r="AI30" s="18">
        <v>45</v>
      </c>
      <c r="AJ30" s="18">
        <v>45</v>
      </c>
      <c r="AK30" s="18">
        <f t="shared" si="6"/>
        <v>90</v>
      </c>
      <c r="AL30" s="18">
        <f t="shared" si="7"/>
        <v>90</v>
      </c>
      <c r="AM30" s="18">
        <f t="shared" si="8"/>
        <v>45</v>
      </c>
      <c r="AN30" s="18">
        <f t="shared" si="9"/>
        <v>90</v>
      </c>
      <c r="AO30" s="18">
        <f t="shared" si="10"/>
        <v>45</v>
      </c>
      <c r="AP30" s="26">
        <v>2</v>
      </c>
      <c r="AQ30" s="30" t="s">
        <v>413</v>
      </c>
    </row>
    <row r="31" spans="1:43" s="20" customFormat="1" ht="15.75" customHeight="1">
      <c r="A31" s="23"/>
      <c r="B31" s="10" t="s">
        <v>414</v>
      </c>
      <c r="C31" s="22" t="s">
        <v>415</v>
      </c>
      <c r="D31" s="23">
        <v>94</v>
      </c>
      <c r="E31" s="70" t="s">
        <v>603</v>
      </c>
      <c r="F31" s="24" t="s">
        <v>341</v>
      </c>
      <c r="G31" s="25" t="s">
        <v>30</v>
      </c>
      <c r="H31" s="60">
        <v>60</v>
      </c>
      <c r="I31" s="60">
        <v>58</v>
      </c>
      <c r="J31" s="60">
        <v>118</v>
      </c>
      <c r="K31" s="86">
        <v>59</v>
      </c>
      <c r="L31" s="87">
        <v>46</v>
      </c>
      <c r="M31" s="87">
        <v>40</v>
      </c>
      <c r="N31" s="87">
        <v>86</v>
      </c>
      <c r="O31" s="86">
        <v>43</v>
      </c>
      <c r="P31" s="87">
        <v>46</v>
      </c>
      <c r="Q31" s="87">
        <v>45</v>
      </c>
      <c r="R31" s="87">
        <v>91</v>
      </c>
      <c r="S31" s="86">
        <v>45.5</v>
      </c>
      <c r="T31" s="88"/>
      <c r="U31" s="86">
        <f t="shared" si="0"/>
        <v>147.5</v>
      </c>
      <c r="V31" s="18">
        <v>20</v>
      </c>
      <c r="W31" s="18">
        <v>25</v>
      </c>
      <c r="X31" s="18">
        <v>15</v>
      </c>
      <c r="Y31" s="18">
        <f t="shared" si="1"/>
        <v>60</v>
      </c>
      <c r="Z31" s="18">
        <v>15</v>
      </c>
      <c r="AA31" s="18">
        <v>28</v>
      </c>
      <c r="AB31" s="18">
        <v>15</v>
      </c>
      <c r="AC31" s="18">
        <f t="shared" si="2"/>
        <v>58</v>
      </c>
      <c r="AD31" s="18">
        <f t="shared" si="3"/>
        <v>118</v>
      </c>
      <c r="AE31" s="18">
        <f t="shared" si="4"/>
        <v>59</v>
      </c>
      <c r="AF31" s="18">
        <v>46</v>
      </c>
      <c r="AG31" s="18">
        <v>46</v>
      </c>
      <c r="AH31" s="18">
        <f t="shared" si="5"/>
        <v>92</v>
      </c>
      <c r="AI31" s="18">
        <v>40</v>
      </c>
      <c r="AJ31" s="18">
        <v>45</v>
      </c>
      <c r="AK31" s="18">
        <f t="shared" si="6"/>
        <v>85</v>
      </c>
      <c r="AL31" s="18">
        <f t="shared" si="7"/>
        <v>86</v>
      </c>
      <c r="AM31" s="18">
        <f t="shared" si="8"/>
        <v>43</v>
      </c>
      <c r="AN31" s="18">
        <f t="shared" si="9"/>
        <v>91</v>
      </c>
      <c r="AO31" s="18">
        <f t="shared" si="10"/>
        <v>45.5</v>
      </c>
      <c r="AP31" s="26">
        <v>102</v>
      </c>
      <c r="AQ31" s="27" t="s">
        <v>374</v>
      </c>
    </row>
    <row r="32" spans="1:43" s="20" customFormat="1" ht="15.75" customHeight="1">
      <c r="A32" s="23"/>
      <c r="B32" s="10" t="s">
        <v>416</v>
      </c>
      <c r="C32" s="22" t="s">
        <v>417</v>
      </c>
      <c r="D32" s="23">
        <v>106</v>
      </c>
      <c r="E32" s="70" t="s">
        <v>606</v>
      </c>
      <c r="F32" s="28" t="s">
        <v>29</v>
      </c>
      <c r="G32" s="18" t="s">
        <v>418</v>
      </c>
      <c r="H32" s="36">
        <v>54</v>
      </c>
      <c r="I32" s="36">
        <v>60</v>
      </c>
      <c r="J32" s="36">
        <v>114</v>
      </c>
      <c r="K32" s="89">
        <v>57</v>
      </c>
      <c r="L32" s="90">
        <v>45</v>
      </c>
      <c r="M32" s="90">
        <v>50</v>
      </c>
      <c r="N32" s="90">
        <v>95</v>
      </c>
      <c r="O32" s="91">
        <v>47.5</v>
      </c>
      <c r="P32" s="90">
        <v>45</v>
      </c>
      <c r="Q32" s="90">
        <v>40</v>
      </c>
      <c r="R32" s="90">
        <v>85</v>
      </c>
      <c r="S32" s="91">
        <v>42.5</v>
      </c>
      <c r="T32" s="88"/>
      <c r="U32" s="86">
        <f t="shared" si="0"/>
        <v>147</v>
      </c>
      <c r="V32" s="18">
        <v>26</v>
      </c>
      <c r="W32" s="18">
        <v>10</v>
      </c>
      <c r="X32" s="18">
        <v>18</v>
      </c>
      <c r="Y32" s="18">
        <f t="shared" si="1"/>
        <v>54</v>
      </c>
      <c r="Z32" s="18">
        <v>25</v>
      </c>
      <c r="AA32" s="18">
        <v>15</v>
      </c>
      <c r="AB32" s="18">
        <v>20</v>
      </c>
      <c r="AC32" s="18">
        <f t="shared" si="2"/>
        <v>60</v>
      </c>
      <c r="AD32" s="18">
        <f t="shared" si="3"/>
        <v>114</v>
      </c>
      <c r="AE32" s="18">
        <f t="shared" si="4"/>
        <v>57</v>
      </c>
      <c r="AF32" s="18">
        <v>45</v>
      </c>
      <c r="AG32" s="18">
        <v>45</v>
      </c>
      <c r="AH32" s="18">
        <f t="shared" si="5"/>
        <v>90</v>
      </c>
      <c r="AI32" s="18">
        <v>50</v>
      </c>
      <c r="AJ32" s="18">
        <v>40</v>
      </c>
      <c r="AK32" s="18">
        <f t="shared" si="6"/>
        <v>90</v>
      </c>
      <c r="AL32" s="18">
        <f t="shared" si="7"/>
        <v>95</v>
      </c>
      <c r="AM32" s="18">
        <f t="shared" si="8"/>
        <v>47.5</v>
      </c>
      <c r="AN32" s="18">
        <f t="shared" si="9"/>
        <v>85</v>
      </c>
      <c r="AO32" s="18">
        <f t="shared" si="10"/>
        <v>42.5</v>
      </c>
      <c r="AP32" s="26">
        <v>14</v>
      </c>
      <c r="AQ32" s="29" t="s">
        <v>419</v>
      </c>
    </row>
    <row r="33" spans="1:89" s="20" customFormat="1">
      <c r="A33" s="23"/>
      <c r="B33" s="10" t="s">
        <v>427</v>
      </c>
      <c r="C33" s="22" t="s">
        <v>428</v>
      </c>
      <c r="D33" s="23">
        <v>396</v>
      </c>
      <c r="E33" s="70" t="s">
        <v>603</v>
      </c>
      <c r="F33" s="24" t="s">
        <v>341</v>
      </c>
      <c r="G33" s="25" t="s">
        <v>30</v>
      </c>
      <c r="H33" s="60">
        <v>51</v>
      </c>
      <c r="I33" s="60">
        <v>50</v>
      </c>
      <c r="J33" s="60">
        <v>101</v>
      </c>
      <c r="K33" s="86">
        <v>50.5</v>
      </c>
      <c r="L33" s="87">
        <v>49</v>
      </c>
      <c r="M33" s="87">
        <v>47</v>
      </c>
      <c r="N33" s="87">
        <v>96</v>
      </c>
      <c r="O33" s="86">
        <v>48</v>
      </c>
      <c r="P33" s="87">
        <v>49</v>
      </c>
      <c r="Q33" s="87">
        <v>47</v>
      </c>
      <c r="R33" s="87">
        <v>96</v>
      </c>
      <c r="S33" s="86">
        <v>48</v>
      </c>
      <c r="T33" s="88"/>
      <c r="U33" s="86">
        <f t="shared" si="0"/>
        <v>146.5</v>
      </c>
      <c r="V33" s="18">
        <v>18</v>
      </c>
      <c r="W33" s="18">
        <v>18</v>
      </c>
      <c r="X33" s="18">
        <v>15</v>
      </c>
      <c r="Y33" s="18">
        <f t="shared" si="1"/>
        <v>51</v>
      </c>
      <c r="Z33" s="18">
        <v>15</v>
      </c>
      <c r="AA33" s="18">
        <v>15</v>
      </c>
      <c r="AB33" s="18">
        <v>20</v>
      </c>
      <c r="AC33" s="18">
        <f t="shared" si="2"/>
        <v>50</v>
      </c>
      <c r="AD33" s="18">
        <f t="shared" si="3"/>
        <v>101</v>
      </c>
      <c r="AE33" s="18">
        <f t="shared" si="4"/>
        <v>50.5</v>
      </c>
      <c r="AF33" s="18">
        <v>49</v>
      </c>
      <c r="AG33" s="18">
        <v>49</v>
      </c>
      <c r="AH33" s="18">
        <f t="shared" si="5"/>
        <v>98</v>
      </c>
      <c r="AI33" s="18">
        <v>47</v>
      </c>
      <c r="AJ33" s="18">
        <v>47</v>
      </c>
      <c r="AK33" s="18">
        <f t="shared" si="6"/>
        <v>94</v>
      </c>
      <c r="AL33" s="18">
        <f t="shared" si="7"/>
        <v>96</v>
      </c>
      <c r="AM33" s="18">
        <f t="shared" si="8"/>
        <v>48</v>
      </c>
      <c r="AN33" s="18">
        <f t="shared" si="9"/>
        <v>96</v>
      </c>
      <c r="AO33" s="18">
        <f t="shared" si="10"/>
        <v>48</v>
      </c>
      <c r="AP33" s="26">
        <v>57</v>
      </c>
      <c r="AQ33" s="32" t="s">
        <v>429</v>
      </c>
    </row>
    <row r="34" spans="1:89" s="20" customFormat="1" ht="15.75" customHeight="1">
      <c r="A34" s="23"/>
      <c r="B34" s="10" t="s">
        <v>430</v>
      </c>
      <c r="C34" s="22" t="s">
        <v>431</v>
      </c>
      <c r="D34" s="23">
        <v>91</v>
      </c>
      <c r="E34" s="70" t="s">
        <v>607</v>
      </c>
      <c r="F34" s="28" t="s">
        <v>28</v>
      </c>
      <c r="G34" s="18" t="s">
        <v>30</v>
      </c>
      <c r="H34" s="36">
        <v>45</v>
      </c>
      <c r="I34" s="36">
        <v>58</v>
      </c>
      <c r="J34" s="36">
        <v>103</v>
      </c>
      <c r="K34" s="89">
        <v>51.5</v>
      </c>
      <c r="L34" s="90">
        <v>45</v>
      </c>
      <c r="M34" s="90">
        <v>50</v>
      </c>
      <c r="N34" s="90">
        <v>95</v>
      </c>
      <c r="O34" s="91">
        <v>47.5</v>
      </c>
      <c r="P34" s="90">
        <v>45</v>
      </c>
      <c r="Q34" s="90">
        <v>49</v>
      </c>
      <c r="R34" s="90">
        <v>94</v>
      </c>
      <c r="S34" s="91">
        <v>47</v>
      </c>
      <c r="T34" s="88"/>
      <c r="U34" s="86">
        <f t="shared" si="0"/>
        <v>146</v>
      </c>
      <c r="V34" s="18">
        <v>20</v>
      </c>
      <c r="W34" s="18">
        <v>15</v>
      </c>
      <c r="X34" s="18">
        <v>10</v>
      </c>
      <c r="Y34" s="18">
        <f t="shared" si="1"/>
        <v>45</v>
      </c>
      <c r="Z34" s="18">
        <v>33</v>
      </c>
      <c r="AA34" s="18">
        <v>20</v>
      </c>
      <c r="AB34" s="18">
        <v>5</v>
      </c>
      <c r="AC34" s="18">
        <f t="shared" si="2"/>
        <v>58</v>
      </c>
      <c r="AD34" s="18">
        <f t="shared" si="3"/>
        <v>103</v>
      </c>
      <c r="AE34" s="18">
        <f t="shared" si="4"/>
        <v>51.5</v>
      </c>
      <c r="AF34" s="18">
        <v>45</v>
      </c>
      <c r="AG34" s="18">
        <v>45</v>
      </c>
      <c r="AH34" s="18">
        <f t="shared" si="5"/>
        <v>90</v>
      </c>
      <c r="AI34" s="18">
        <v>50</v>
      </c>
      <c r="AJ34" s="18">
        <v>49</v>
      </c>
      <c r="AK34" s="18">
        <f t="shared" si="6"/>
        <v>99</v>
      </c>
      <c r="AL34" s="18">
        <f t="shared" si="7"/>
        <v>95</v>
      </c>
      <c r="AM34" s="18">
        <f t="shared" si="8"/>
        <v>47.5</v>
      </c>
      <c r="AN34" s="18">
        <f t="shared" si="9"/>
        <v>94</v>
      </c>
      <c r="AO34" s="18">
        <f t="shared" si="10"/>
        <v>47</v>
      </c>
      <c r="AP34" s="26">
        <v>49</v>
      </c>
      <c r="AQ34" s="29" t="s">
        <v>432</v>
      </c>
    </row>
    <row r="35" spans="1:89" s="20" customFormat="1" ht="15.75" customHeight="1">
      <c r="A35" s="23"/>
      <c r="B35" s="10" t="s">
        <v>435</v>
      </c>
      <c r="C35" s="22" t="s">
        <v>436</v>
      </c>
      <c r="D35" s="23">
        <v>145</v>
      </c>
      <c r="E35" s="70" t="s">
        <v>604</v>
      </c>
      <c r="F35" s="12" t="s">
        <v>341</v>
      </c>
      <c r="G35" s="18" t="s">
        <v>330</v>
      </c>
      <c r="H35" s="36">
        <v>48</v>
      </c>
      <c r="I35" s="36">
        <v>55</v>
      </c>
      <c r="J35" s="36">
        <v>103</v>
      </c>
      <c r="K35" s="89">
        <v>51.5</v>
      </c>
      <c r="L35" s="90">
        <v>48</v>
      </c>
      <c r="M35" s="90">
        <v>45</v>
      </c>
      <c r="N35" s="90">
        <v>93</v>
      </c>
      <c r="O35" s="91">
        <v>46.5</v>
      </c>
      <c r="P35" s="90">
        <v>48</v>
      </c>
      <c r="Q35" s="90">
        <v>45</v>
      </c>
      <c r="R35" s="90">
        <v>93</v>
      </c>
      <c r="S35" s="91">
        <v>46.5</v>
      </c>
      <c r="T35" s="88"/>
      <c r="U35" s="86">
        <f t="shared" si="0"/>
        <v>144.5</v>
      </c>
      <c r="V35" s="18">
        <v>10</v>
      </c>
      <c r="W35" s="18">
        <v>33</v>
      </c>
      <c r="X35" s="18">
        <v>5</v>
      </c>
      <c r="Y35" s="18">
        <f t="shared" si="1"/>
        <v>48</v>
      </c>
      <c r="Z35" s="18">
        <v>12</v>
      </c>
      <c r="AA35" s="18">
        <v>33</v>
      </c>
      <c r="AB35" s="18">
        <v>10</v>
      </c>
      <c r="AC35" s="18">
        <f t="shared" si="2"/>
        <v>55</v>
      </c>
      <c r="AD35" s="18">
        <f t="shared" si="3"/>
        <v>103</v>
      </c>
      <c r="AE35" s="18">
        <f t="shared" si="4"/>
        <v>51.5</v>
      </c>
      <c r="AF35" s="18">
        <v>48</v>
      </c>
      <c r="AG35" s="18">
        <v>48</v>
      </c>
      <c r="AH35" s="18">
        <f t="shared" si="5"/>
        <v>96</v>
      </c>
      <c r="AI35" s="18">
        <v>45</v>
      </c>
      <c r="AJ35" s="18">
        <v>45</v>
      </c>
      <c r="AK35" s="18">
        <f t="shared" si="6"/>
        <v>90</v>
      </c>
      <c r="AL35" s="18">
        <f t="shared" si="7"/>
        <v>93</v>
      </c>
      <c r="AM35" s="18">
        <f t="shared" si="8"/>
        <v>46.5</v>
      </c>
      <c r="AN35" s="18">
        <f t="shared" si="9"/>
        <v>93</v>
      </c>
      <c r="AO35" s="18">
        <f t="shared" si="10"/>
        <v>46.5</v>
      </c>
      <c r="AP35" s="26">
        <v>29</v>
      </c>
      <c r="AQ35" s="33" t="s">
        <v>437</v>
      </c>
    </row>
    <row r="36" spans="1:89" s="20" customFormat="1" ht="15.75" customHeight="1">
      <c r="A36" s="23"/>
      <c r="B36" s="10" t="s">
        <v>440</v>
      </c>
      <c r="C36" s="22" t="s">
        <v>441</v>
      </c>
      <c r="D36" s="23">
        <v>35</v>
      </c>
      <c r="E36" s="70" t="s">
        <v>606</v>
      </c>
      <c r="F36" s="28" t="s">
        <v>29</v>
      </c>
      <c r="G36" s="18" t="s">
        <v>422</v>
      </c>
      <c r="H36" s="36">
        <v>52</v>
      </c>
      <c r="I36" s="36">
        <v>60</v>
      </c>
      <c r="J36" s="36">
        <v>112</v>
      </c>
      <c r="K36" s="89">
        <v>56</v>
      </c>
      <c r="L36" s="90">
        <v>50</v>
      </c>
      <c r="M36" s="90">
        <v>50</v>
      </c>
      <c r="N36" s="90">
        <v>100</v>
      </c>
      <c r="O36" s="91">
        <v>50</v>
      </c>
      <c r="P36" s="90">
        <v>35</v>
      </c>
      <c r="Q36" s="90">
        <v>35</v>
      </c>
      <c r="R36" s="90">
        <v>70</v>
      </c>
      <c r="S36" s="91">
        <v>35</v>
      </c>
      <c r="T36" s="88"/>
      <c r="U36" s="86">
        <f t="shared" si="0"/>
        <v>141</v>
      </c>
      <c r="V36" s="18">
        <v>16</v>
      </c>
      <c r="W36" s="18">
        <v>19</v>
      </c>
      <c r="X36" s="18">
        <v>17</v>
      </c>
      <c r="Y36" s="18">
        <f t="shared" si="1"/>
        <v>52</v>
      </c>
      <c r="Z36" s="18">
        <v>15</v>
      </c>
      <c r="AA36" s="18">
        <v>25</v>
      </c>
      <c r="AB36" s="18">
        <v>20</v>
      </c>
      <c r="AC36" s="18">
        <f t="shared" si="2"/>
        <v>60</v>
      </c>
      <c r="AD36" s="18">
        <f t="shared" si="3"/>
        <v>112</v>
      </c>
      <c r="AE36" s="18">
        <f t="shared" si="4"/>
        <v>56</v>
      </c>
      <c r="AF36" s="18">
        <v>50</v>
      </c>
      <c r="AG36" s="18">
        <v>35</v>
      </c>
      <c r="AH36" s="18">
        <f t="shared" si="5"/>
        <v>85</v>
      </c>
      <c r="AI36" s="18">
        <v>50</v>
      </c>
      <c r="AJ36" s="18">
        <v>35</v>
      </c>
      <c r="AK36" s="18">
        <f t="shared" si="6"/>
        <v>85</v>
      </c>
      <c r="AL36" s="18">
        <f t="shared" si="7"/>
        <v>100</v>
      </c>
      <c r="AM36" s="18">
        <f t="shared" si="8"/>
        <v>50</v>
      </c>
      <c r="AN36" s="18">
        <f t="shared" si="9"/>
        <v>70</v>
      </c>
      <c r="AO36" s="18">
        <f t="shared" si="10"/>
        <v>35</v>
      </c>
      <c r="AP36" s="26">
        <v>55</v>
      </c>
      <c r="AQ36" s="29" t="s">
        <v>442</v>
      </c>
    </row>
    <row r="37" spans="1:89" s="20" customFormat="1">
      <c r="A37" s="23"/>
      <c r="B37" s="10" t="s">
        <v>446</v>
      </c>
      <c r="C37" s="22" t="s">
        <v>447</v>
      </c>
      <c r="D37" s="23">
        <v>162</v>
      </c>
      <c r="E37" s="70" t="s">
        <v>607</v>
      </c>
      <c r="F37" s="28" t="s">
        <v>28</v>
      </c>
      <c r="G37" s="18" t="s">
        <v>393</v>
      </c>
      <c r="H37" s="36">
        <v>56</v>
      </c>
      <c r="I37" s="36">
        <v>55</v>
      </c>
      <c r="J37" s="36">
        <v>111</v>
      </c>
      <c r="K37" s="89">
        <v>55.5</v>
      </c>
      <c r="L37" s="90">
        <v>40</v>
      </c>
      <c r="M37" s="90">
        <v>50</v>
      </c>
      <c r="N37" s="90">
        <v>90</v>
      </c>
      <c r="O37" s="91">
        <v>45</v>
      </c>
      <c r="P37" s="90">
        <v>40</v>
      </c>
      <c r="Q37" s="90">
        <v>40</v>
      </c>
      <c r="R37" s="90">
        <v>80</v>
      </c>
      <c r="S37" s="91">
        <v>40</v>
      </c>
      <c r="T37" s="88"/>
      <c r="U37" s="86">
        <f t="shared" ref="U37:U49" si="29">SUM(K37,O37,S37)</f>
        <v>140.5</v>
      </c>
      <c r="V37" s="18">
        <v>20</v>
      </c>
      <c r="W37" s="18">
        <v>18</v>
      </c>
      <c r="X37" s="18">
        <v>18</v>
      </c>
      <c r="Y37" s="18">
        <f t="shared" ref="Y37:Y49" si="30">SUM(V37:X37)</f>
        <v>56</v>
      </c>
      <c r="Z37" s="18">
        <v>5</v>
      </c>
      <c r="AA37" s="18">
        <v>22</v>
      </c>
      <c r="AB37" s="18">
        <v>28</v>
      </c>
      <c r="AC37" s="18">
        <f t="shared" ref="AC37:AC49" si="31">SUM(Z37:AB37)</f>
        <v>55</v>
      </c>
      <c r="AD37" s="18">
        <f t="shared" ref="AD37:AD49" si="32">SUM(Y37,AC37)</f>
        <v>111</v>
      </c>
      <c r="AE37" s="18">
        <f t="shared" ref="AE37:AE49" si="33">AD37/2</f>
        <v>55.5</v>
      </c>
      <c r="AF37" s="18">
        <v>40</v>
      </c>
      <c r="AG37" s="18">
        <v>40</v>
      </c>
      <c r="AH37" s="18">
        <f t="shared" ref="AH37:AH49" si="34">SUM(AF37:AG37)</f>
        <v>80</v>
      </c>
      <c r="AI37" s="18">
        <v>50</v>
      </c>
      <c r="AJ37" s="18">
        <v>40</v>
      </c>
      <c r="AK37" s="18">
        <f t="shared" ref="AK37:AK49" si="35">SUM(AI37:AJ37)</f>
        <v>90</v>
      </c>
      <c r="AL37" s="18">
        <f t="shared" ref="AL37:AL49" si="36">SUM(AF37,AI37)</f>
        <v>90</v>
      </c>
      <c r="AM37" s="18">
        <f t="shared" ref="AM37:AM49" si="37">AL37/2</f>
        <v>45</v>
      </c>
      <c r="AN37" s="18">
        <f t="shared" ref="AN37:AN49" si="38">SUM(AG37,AJ37)</f>
        <v>80</v>
      </c>
      <c r="AO37" s="18">
        <f t="shared" ref="AO37:AO49" si="39">AN37/2</f>
        <v>40</v>
      </c>
      <c r="AP37" s="26">
        <v>38</v>
      </c>
      <c r="AQ37" s="29" t="s">
        <v>448</v>
      </c>
    </row>
    <row r="38" spans="1:89" s="20" customFormat="1" ht="15.75" customHeight="1">
      <c r="A38" s="23"/>
      <c r="B38" s="10" t="s">
        <v>449</v>
      </c>
      <c r="C38" s="22" t="s">
        <v>450</v>
      </c>
      <c r="D38" s="23">
        <v>23</v>
      </c>
      <c r="E38" s="70" t="s">
        <v>608</v>
      </c>
      <c r="F38" s="28" t="s">
        <v>30</v>
      </c>
      <c r="G38" s="18" t="s">
        <v>357</v>
      </c>
      <c r="H38" s="36">
        <v>45</v>
      </c>
      <c r="I38" s="36">
        <v>60</v>
      </c>
      <c r="J38" s="36">
        <v>105</v>
      </c>
      <c r="K38" s="89">
        <v>52.5</v>
      </c>
      <c r="L38" s="90">
        <v>40</v>
      </c>
      <c r="M38" s="90">
        <v>45</v>
      </c>
      <c r="N38" s="90">
        <v>85</v>
      </c>
      <c r="O38" s="91">
        <v>42.5</v>
      </c>
      <c r="P38" s="90">
        <v>45</v>
      </c>
      <c r="Q38" s="90">
        <v>45</v>
      </c>
      <c r="R38" s="90">
        <v>90</v>
      </c>
      <c r="S38" s="91">
        <v>45</v>
      </c>
      <c r="T38" s="88"/>
      <c r="U38" s="86">
        <f t="shared" si="29"/>
        <v>140</v>
      </c>
      <c r="V38" s="18">
        <v>12</v>
      </c>
      <c r="W38" s="18">
        <v>18</v>
      </c>
      <c r="X38" s="18">
        <v>15</v>
      </c>
      <c r="Y38" s="18">
        <f t="shared" si="30"/>
        <v>45</v>
      </c>
      <c r="Z38" s="18">
        <v>20</v>
      </c>
      <c r="AA38" s="18">
        <v>15</v>
      </c>
      <c r="AB38" s="18">
        <v>25</v>
      </c>
      <c r="AC38" s="18">
        <f t="shared" si="31"/>
        <v>60</v>
      </c>
      <c r="AD38" s="18">
        <f t="shared" si="32"/>
        <v>105</v>
      </c>
      <c r="AE38" s="18">
        <f t="shared" si="33"/>
        <v>52.5</v>
      </c>
      <c r="AF38" s="18">
        <v>40</v>
      </c>
      <c r="AG38" s="18">
        <v>45</v>
      </c>
      <c r="AH38" s="18">
        <f t="shared" si="34"/>
        <v>85</v>
      </c>
      <c r="AI38" s="18">
        <v>45</v>
      </c>
      <c r="AJ38" s="18">
        <v>45</v>
      </c>
      <c r="AK38" s="18">
        <f t="shared" si="35"/>
        <v>90</v>
      </c>
      <c r="AL38" s="18">
        <f t="shared" si="36"/>
        <v>85</v>
      </c>
      <c r="AM38" s="18">
        <f t="shared" si="37"/>
        <v>42.5</v>
      </c>
      <c r="AN38" s="18">
        <f t="shared" si="38"/>
        <v>90</v>
      </c>
      <c r="AO38" s="18">
        <f t="shared" si="39"/>
        <v>45</v>
      </c>
      <c r="AP38" s="26">
        <v>52</v>
      </c>
      <c r="AQ38" s="29" t="s">
        <v>358</v>
      </c>
    </row>
    <row r="39" spans="1:89" s="20" customFormat="1">
      <c r="A39" s="23"/>
      <c r="B39" s="10" t="s">
        <v>453</v>
      </c>
      <c r="C39" s="22" t="s">
        <v>454</v>
      </c>
      <c r="D39" s="23">
        <v>482</v>
      </c>
      <c r="E39" s="70" t="s">
        <v>609</v>
      </c>
      <c r="F39" s="12" t="s">
        <v>341</v>
      </c>
      <c r="G39" s="18" t="s">
        <v>393</v>
      </c>
      <c r="H39" s="36">
        <v>53</v>
      </c>
      <c r="I39" s="36">
        <v>51</v>
      </c>
      <c r="J39" s="36">
        <v>104</v>
      </c>
      <c r="K39" s="89">
        <v>52</v>
      </c>
      <c r="L39" s="90">
        <v>40</v>
      </c>
      <c r="M39" s="90">
        <v>45</v>
      </c>
      <c r="N39" s="90">
        <v>85</v>
      </c>
      <c r="O39" s="91">
        <v>42.5</v>
      </c>
      <c r="P39" s="90">
        <v>45</v>
      </c>
      <c r="Q39" s="90">
        <v>45</v>
      </c>
      <c r="R39" s="90">
        <v>90</v>
      </c>
      <c r="S39" s="91">
        <v>45</v>
      </c>
      <c r="T39" s="88"/>
      <c r="U39" s="86">
        <f t="shared" si="29"/>
        <v>139.5</v>
      </c>
      <c r="V39" s="18">
        <v>18</v>
      </c>
      <c r="W39" s="18">
        <v>15</v>
      </c>
      <c r="X39" s="18">
        <v>20</v>
      </c>
      <c r="Y39" s="18">
        <f t="shared" si="30"/>
        <v>53</v>
      </c>
      <c r="Z39" s="18">
        <v>18</v>
      </c>
      <c r="AA39" s="18">
        <v>15</v>
      </c>
      <c r="AB39" s="18">
        <v>18</v>
      </c>
      <c r="AC39" s="18">
        <f t="shared" si="31"/>
        <v>51</v>
      </c>
      <c r="AD39" s="18">
        <f t="shared" si="32"/>
        <v>104</v>
      </c>
      <c r="AE39" s="18">
        <f t="shared" si="33"/>
        <v>52</v>
      </c>
      <c r="AF39" s="18">
        <v>40</v>
      </c>
      <c r="AG39" s="18">
        <v>45</v>
      </c>
      <c r="AH39" s="18">
        <f t="shared" si="34"/>
        <v>85</v>
      </c>
      <c r="AI39" s="18">
        <v>45</v>
      </c>
      <c r="AJ39" s="18">
        <v>45</v>
      </c>
      <c r="AK39" s="18">
        <f t="shared" si="35"/>
        <v>90</v>
      </c>
      <c r="AL39" s="18">
        <f t="shared" si="36"/>
        <v>85</v>
      </c>
      <c r="AM39" s="18">
        <f t="shared" si="37"/>
        <v>42.5</v>
      </c>
      <c r="AN39" s="18">
        <f t="shared" si="38"/>
        <v>90</v>
      </c>
      <c r="AO39" s="18">
        <f t="shared" si="39"/>
        <v>45</v>
      </c>
      <c r="AP39" s="26">
        <v>41</v>
      </c>
      <c r="AQ39" s="34" t="s">
        <v>455</v>
      </c>
    </row>
    <row r="40" spans="1:89" s="20" customFormat="1">
      <c r="A40" s="23"/>
      <c r="B40" s="10" t="s">
        <v>1240</v>
      </c>
      <c r="C40" s="22" t="s">
        <v>456</v>
      </c>
      <c r="D40" s="23">
        <v>398</v>
      </c>
      <c r="E40" s="70" t="s">
        <v>608</v>
      </c>
      <c r="F40" s="12" t="s">
        <v>341</v>
      </c>
      <c r="G40" s="18" t="s">
        <v>457</v>
      </c>
      <c r="H40" s="36">
        <v>48</v>
      </c>
      <c r="I40" s="36">
        <v>52</v>
      </c>
      <c r="J40" s="36">
        <v>100</v>
      </c>
      <c r="K40" s="89">
        <v>50</v>
      </c>
      <c r="L40" s="90">
        <v>45</v>
      </c>
      <c r="M40" s="90">
        <v>44</v>
      </c>
      <c r="N40" s="90">
        <v>89</v>
      </c>
      <c r="O40" s="91">
        <v>44.5</v>
      </c>
      <c r="P40" s="90">
        <v>45</v>
      </c>
      <c r="Q40" s="90">
        <v>44</v>
      </c>
      <c r="R40" s="90">
        <v>89</v>
      </c>
      <c r="S40" s="91">
        <v>44.5</v>
      </c>
      <c r="T40" s="88"/>
      <c r="U40" s="86">
        <f t="shared" si="29"/>
        <v>139</v>
      </c>
      <c r="V40" s="18">
        <v>8</v>
      </c>
      <c r="W40" s="18">
        <v>20</v>
      </c>
      <c r="X40" s="18">
        <v>20</v>
      </c>
      <c r="Y40" s="18">
        <f t="shared" si="30"/>
        <v>48</v>
      </c>
      <c r="Z40" s="18">
        <v>10</v>
      </c>
      <c r="AA40" s="18">
        <v>20</v>
      </c>
      <c r="AB40" s="18">
        <v>22</v>
      </c>
      <c r="AC40" s="18">
        <f t="shared" si="31"/>
        <v>52</v>
      </c>
      <c r="AD40" s="18">
        <f t="shared" si="32"/>
        <v>100</v>
      </c>
      <c r="AE40" s="18">
        <f t="shared" si="33"/>
        <v>50</v>
      </c>
      <c r="AF40" s="18">
        <v>45</v>
      </c>
      <c r="AG40" s="18">
        <v>45</v>
      </c>
      <c r="AH40" s="18">
        <f t="shared" si="34"/>
        <v>90</v>
      </c>
      <c r="AI40" s="18">
        <v>44</v>
      </c>
      <c r="AJ40" s="18">
        <v>44</v>
      </c>
      <c r="AK40" s="18">
        <f t="shared" si="35"/>
        <v>88</v>
      </c>
      <c r="AL40" s="18">
        <f t="shared" si="36"/>
        <v>89</v>
      </c>
      <c r="AM40" s="18">
        <f t="shared" si="37"/>
        <v>44.5</v>
      </c>
      <c r="AN40" s="18">
        <f t="shared" si="38"/>
        <v>89</v>
      </c>
      <c r="AO40" s="18">
        <f t="shared" si="39"/>
        <v>44.5</v>
      </c>
      <c r="AP40" s="26">
        <v>84</v>
      </c>
      <c r="AQ40" s="34" t="s">
        <v>458</v>
      </c>
    </row>
    <row r="41" spans="1:89" s="20" customFormat="1" ht="15.75" customHeight="1">
      <c r="A41" s="23"/>
      <c r="B41" s="10" t="s">
        <v>459</v>
      </c>
      <c r="C41" s="22" t="s">
        <v>460</v>
      </c>
      <c r="D41" s="23">
        <v>133</v>
      </c>
      <c r="E41" s="70" t="s">
        <v>608</v>
      </c>
      <c r="F41" s="28" t="s">
        <v>30</v>
      </c>
      <c r="G41" s="18" t="s">
        <v>357</v>
      </c>
      <c r="H41" s="36">
        <v>42</v>
      </c>
      <c r="I41" s="36">
        <v>75</v>
      </c>
      <c r="J41" s="36">
        <v>117</v>
      </c>
      <c r="K41" s="89">
        <v>58.5</v>
      </c>
      <c r="L41" s="90">
        <v>40</v>
      </c>
      <c r="M41" s="90">
        <v>40</v>
      </c>
      <c r="N41" s="90">
        <v>80</v>
      </c>
      <c r="O41" s="91">
        <v>40</v>
      </c>
      <c r="P41" s="90">
        <v>45</v>
      </c>
      <c r="Q41" s="90">
        <v>35</v>
      </c>
      <c r="R41" s="90">
        <v>80</v>
      </c>
      <c r="S41" s="91">
        <v>40</v>
      </c>
      <c r="T41" s="88"/>
      <c r="U41" s="86">
        <f t="shared" si="29"/>
        <v>138.5</v>
      </c>
      <c r="V41" s="18">
        <v>13</v>
      </c>
      <c r="W41" s="18">
        <v>14</v>
      </c>
      <c r="X41" s="18">
        <v>15</v>
      </c>
      <c r="Y41" s="18">
        <f t="shared" si="30"/>
        <v>42</v>
      </c>
      <c r="Z41" s="18">
        <v>30</v>
      </c>
      <c r="AA41" s="18">
        <v>25</v>
      </c>
      <c r="AB41" s="18">
        <v>20</v>
      </c>
      <c r="AC41" s="18">
        <f t="shared" si="31"/>
        <v>75</v>
      </c>
      <c r="AD41" s="18">
        <f t="shared" si="32"/>
        <v>117</v>
      </c>
      <c r="AE41" s="18">
        <f t="shared" si="33"/>
        <v>58.5</v>
      </c>
      <c r="AF41" s="18">
        <v>40</v>
      </c>
      <c r="AG41" s="18">
        <v>45</v>
      </c>
      <c r="AH41" s="18">
        <f t="shared" si="34"/>
        <v>85</v>
      </c>
      <c r="AI41" s="18">
        <v>40</v>
      </c>
      <c r="AJ41" s="18">
        <v>35</v>
      </c>
      <c r="AK41" s="18">
        <f t="shared" si="35"/>
        <v>75</v>
      </c>
      <c r="AL41" s="18">
        <f t="shared" si="36"/>
        <v>80</v>
      </c>
      <c r="AM41" s="18">
        <f t="shared" si="37"/>
        <v>40</v>
      </c>
      <c r="AN41" s="18">
        <f t="shared" si="38"/>
        <v>80</v>
      </c>
      <c r="AO41" s="18">
        <f t="shared" si="39"/>
        <v>40</v>
      </c>
      <c r="AP41" s="26">
        <v>27</v>
      </c>
      <c r="AQ41" s="29" t="s">
        <v>358</v>
      </c>
    </row>
    <row r="42" spans="1:89" s="20" customFormat="1" ht="15.75" customHeight="1">
      <c r="A42" s="23"/>
      <c r="B42" s="10" t="s">
        <v>469</v>
      </c>
      <c r="C42" s="22" t="s">
        <v>470</v>
      </c>
      <c r="D42" s="23">
        <v>64</v>
      </c>
      <c r="E42" s="70" t="s">
        <v>603</v>
      </c>
      <c r="F42" s="41" t="s">
        <v>29</v>
      </c>
      <c r="G42" s="25" t="s">
        <v>418</v>
      </c>
      <c r="H42" s="60">
        <v>54</v>
      </c>
      <c r="I42" s="60">
        <v>60</v>
      </c>
      <c r="J42" s="60">
        <v>114</v>
      </c>
      <c r="K42" s="86">
        <v>57</v>
      </c>
      <c r="L42" s="87">
        <v>40</v>
      </c>
      <c r="M42" s="87">
        <v>40</v>
      </c>
      <c r="N42" s="87">
        <v>80</v>
      </c>
      <c r="O42" s="86">
        <v>40</v>
      </c>
      <c r="P42" s="87">
        <v>40</v>
      </c>
      <c r="Q42" s="87">
        <v>40</v>
      </c>
      <c r="R42" s="87">
        <v>80</v>
      </c>
      <c r="S42" s="86">
        <v>40</v>
      </c>
      <c r="T42" s="88"/>
      <c r="U42" s="86">
        <f t="shared" si="29"/>
        <v>137</v>
      </c>
      <c r="V42" s="18">
        <v>14</v>
      </c>
      <c r="W42" s="18">
        <v>15</v>
      </c>
      <c r="X42" s="18">
        <v>25</v>
      </c>
      <c r="Y42" s="18">
        <f t="shared" si="30"/>
        <v>54</v>
      </c>
      <c r="Z42" s="18">
        <v>15</v>
      </c>
      <c r="AA42" s="18">
        <v>20</v>
      </c>
      <c r="AB42" s="18">
        <v>25</v>
      </c>
      <c r="AC42" s="18">
        <f t="shared" si="31"/>
        <v>60</v>
      </c>
      <c r="AD42" s="18">
        <f t="shared" si="32"/>
        <v>114</v>
      </c>
      <c r="AE42" s="18">
        <f t="shared" si="33"/>
        <v>57</v>
      </c>
      <c r="AF42" s="18">
        <v>40</v>
      </c>
      <c r="AG42" s="18">
        <v>40</v>
      </c>
      <c r="AH42" s="18">
        <f t="shared" si="34"/>
        <v>80</v>
      </c>
      <c r="AI42" s="18">
        <v>40</v>
      </c>
      <c r="AJ42" s="18">
        <v>40</v>
      </c>
      <c r="AK42" s="18">
        <f t="shared" si="35"/>
        <v>80</v>
      </c>
      <c r="AL42" s="18">
        <f t="shared" si="36"/>
        <v>80</v>
      </c>
      <c r="AM42" s="18">
        <f t="shared" si="37"/>
        <v>40</v>
      </c>
      <c r="AN42" s="18">
        <f t="shared" si="38"/>
        <v>80</v>
      </c>
      <c r="AO42" s="18">
        <f t="shared" si="39"/>
        <v>40</v>
      </c>
      <c r="AP42" s="26">
        <v>15</v>
      </c>
      <c r="AQ42" s="27" t="s">
        <v>471</v>
      </c>
    </row>
    <row r="43" spans="1:89" s="20" customFormat="1">
      <c r="A43" s="23"/>
      <c r="B43" s="10" t="s">
        <v>476</v>
      </c>
      <c r="C43" s="22" t="s">
        <v>477</v>
      </c>
      <c r="D43" s="23">
        <v>168</v>
      </c>
      <c r="E43" s="70" t="s">
        <v>608</v>
      </c>
      <c r="F43" s="28" t="s">
        <v>30</v>
      </c>
      <c r="G43" s="18" t="s">
        <v>422</v>
      </c>
      <c r="H43" s="36">
        <v>42</v>
      </c>
      <c r="I43" s="36">
        <v>70</v>
      </c>
      <c r="J43" s="36">
        <v>112</v>
      </c>
      <c r="K43" s="89">
        <v>56</v>
      </c>
      <c r="L43" s="90">
        <v>40</v>
      </c>
      <c r="M43" s="90">
        <v>40</v>
      </c>
      <c r="N43" s="90">
        <v>80</v>
      </c>
      <c r="O43" s="91">
        <v>40</v>
      </c>
      <c r="P43" s="90">
        <v>37</v>
      </c>
      <c r="Q43" s="90">
        <v>42</v>
      </c>
      <c r="R43" s="90">
        <v>79</v>
      </c>
      <c r="S43" s="91">
        <v>39.5</v>
      </c>
      <c r="T43" s="88"/>
      <c r="U43" s="86">
        <f t="shared" si="29"/>
        <v>135.5</v>
      </c>
      <c r="V43" s="18">
        <v>18</v>
      </c>
      <c r="W43" s="18">
        <v>10</v>
      </c>
      <c r="X43" s="18">
        <v>14</v>
      </c>
      <c r="Y43" s="18">
        <f t="shared" si="30"/>
        <v>42</v>
      </c>
      <c r="Z43" s="18">
        <v>25</v>
      </c>
      <c r="AA43" s="18">
        <v>25</v>
      </c>
      <c r="AB43" s="18">
        <v>20</v>
      </c>
      <c r="AC43" s="18">
        <f t="shared" si="31"/>
        <v>70</v>
      </c>
      <c r="AD43" s="18">
        <f t="shared" si="32"/>
        <v>112</v>
      </c>
      <c r="AE43" s="18">
        <f t="shared" si="33"/>
        <v>56</v>
      </c>
      <c r="AF43" s="18">
        <v>40</v>
      </c>
      <c r="AG43" s="18">
        <v>37</v>
      </c>
      <c r="AH43" s="18">
        <f t="shared" si="34"/>
        <v>77</v>
      </c>
      <c r="AI43" s="18">
        <v>40</v>
      </c>
      <c r="AJ43" s="18">
        <v>42</v>
      </c>
      <c r="AK43" s="18">
        <f t="shared" si="35"/>
        <v>82</v>
      </c>
      <c r="AL43" s="18">
        <f t="shared" si="36"/>
        <v>80</v>
      </c>
      <c r="AM43" s="18">
        <f t="shared" si="37"/>
        <v>40</v>
      </c>
      <c r="AN43" s="18">
        <f t="shared" si="38"/>
        <v>79</v>
      </c>
      <c r="AO43" s="18">
        <f t="shared" si="39"/>
        <v>39.5</v>
      </c>
      <c r="AP43" s="26">
        <v>54</v>
      </c>
      <c r="AQ43" s="29" t="s">
        <v>478</v>
      </c>
    </row>
    <row r="44" spans="1:89" s="20" customFormat="1" ht="15.75" customHeight="1">
      <c r="A44" s="23"/>
      <c r="B44" s="10" t="s">
        <v>497</v>
      </c>
      <c r="C44" s="22" t="s">
        <v>498</v>
      </c>
      <c r="D44" s="23">
        <v>52</v>
      </c>
      <c r="E44" s="70" t="s">
        <v>606</v>
      </c>
      <c r="F44" s="28" t="s">
        <v>30</v>
      </c>
      <c r="G44" s="18" t="s">
        <v>411</v>
      </c>
      <c r="H44" s="36">
        <v>58</v>
      </c>
      <c r="I44" s="36">
        <v>50</v>
      </c>
      <c r="J44" s="36">
        <v>108</v>
      </c>
      <c r="K44" s="89">
        <v>54</v>
      </c>
      <c r="L44" s="90">
        <v>40</v>
      </c>
      <c r="M44" s="90">
        <v>40</v>
      </c>
      <c r="N44" s="90">
        <v>80</v>
      </c>
      <c r="O44" s="91">
        <v>40</v>
      </c>
      <c r="P44" s="90">
        <v>30</v>
      </c>
      <c r="Q44" s="90">
        <v>40</v>
      </c>
      <c r="R44" s="90">
        <v>70</v>
      </c>
      <c r="S44" s="91">
        <v>35</v>
      </c>
      <c r="T44" s="88"/>
      <c r="U44" s="86">
        <f t="shared" si="29"/>
        <v>129</v>
      </c>
      <c r="V44" s="18">
        <v>13</v>
      </c>
      <c r="W44" s="18">
        <v>25</v>
      </c>
      <c r="X44" s="18">
        <v>20</v>
      </c>
      <c r="Y44" s="18">
        <f t="shared" si="30"/>
        <v>58</v>
      </c>
      <c r="Z44" s="18">
        <v>10</v>
      </c>
      <c r="AA44" s="18">
        <v>25</v>
      </c>
      <c r="AB44" s="18">
        <v>15</v>
      </c>
      <c r="AC44" s="18">
        <f t="shared" si="31"/>
        <v>50</v>
      </c>
      <c r="AD44" s="18">
        <f t="shared" si="32"/>
        <v>108</v>
      </c>
      <c r="AE44" s="18">
        <f t="shared" si="33"/>
        <v>54</v>
      </c>
      <c r="AF44" s="18">
        <v>40</v>
      </c>
      <c r="AG44" s="18">
        <v>30</v>
      </c>
      <c r="AH44" s="18">
        <f t="shared" si="34"/>
        <v>70</v>
      </c>
      <c r="AI44" s="18">
        <v>40</v>
      </c>
      <c r="AJ44" s="18">
        <v>40</v>
      </c>
      <c r="AK44" s="18">
        <f t="shared" si="35"/>
        <v>80</v>
      </c>
      <c r="AL44" s="18">
        <f t="shared" si="36"/>
        <v>80</v>
      </c>
      <c r="AM44" s="18">
        <f t="shared" si="37"/>
        <v>40</v>
      </c>
      <c r="AN44" s="18">
        <f t="shared" si="38"/>
        <v>70</v>
      </c>
      <c r="AO44" s="18">
        <f t="shared" si="39"/>
        <v>35</v>
      </c>
      <c r="AP44" s="26">
        <v>91</v>
      </c>
      <c r="AQ44" s="31">
        <v>30</v>
      </c>
    </row>
    <row r="45" spans="1:89" s="20" customFormat="1" ht="15.75" customHeight="1">
      <c r="A45" s="23"/>
      <c r="B45" s="38" t="s">
        <v>507</v>
      </c>
      <c r="C45" s="10" t="s">
        <v>508</v>
      </c>
      <c r="D45" s="23">
        <v>132</v>
      </c>
      <c r="E45" s="70" t="s">
        <v>609</v>
      </c>
      <c r="F45" s="12" t="s">
        <v>30</v>
      </c>
      <c r="G45" s="18" t="s">
        <v>411</v>
      </c>
      <c r="H45" s="36">
        <v>51</v>
      </c>
      <c r="I45" s="36">
        <v>50</v>
      </c>
      <c r="J45" s="36">
        <v>101</v>
      </c>
      <c r="K45" s="89">
        <v>50.5</v>
      </c>
      <c r="L45" s="90">
        <v>40</v>
      </c>
      <c r="M45" s="90">
        <v>45</v>
      </c>
      <c r="N45" s="90">
        <v>85</v>
      </c>
      <c r="O45" s="91">
        <v>42.5</v>
      </c>
      <c r="P45" s="90">
        <v>30</v>
      </c>
      <c r="Q45" s="90">
        <v>35</v>
      </c>
      <c r="R45" s="90">
        <v>65</v>
      </c>
      <c r="S45" s="91">
        <v>32.5</v>
      </c>
      <c r="T45" s="88"/>
      <c r="U45" s="86">
        <f t="shared" si="29"/>
        <v>125.5</v>
      </c>
      <c r="V45" s="18">
        <v>10</v>
      </c>
      <c r="W45" s="18">
        <v>25</v>
      </c>
      <c r="X45" s="18">
        <v>16</v>
      </c>
      <c r="Y45" s="18">
        <f t="shared" si="30"/>
        <v>51</v>
      </c>
      <c r="Z45" s="18">
        <v>10</v>
      </c>
      <c r="AA45" s="18">
        <v>25</v>
      </c>
      <c r="AB45" s="18">
        <v>15</v>
      </c>
      <c r="AC45" s="18">
        <f t="shared" si="31"/>
        <v>50</v>
      </c>
      <c r="AD45" s="18">
        <f t="shared" si="32"/>
        <v>101</v>
      </c>
      <c r="AE45" s="18">
        <f t="shared" si="33"/>
        <v>50.5</v>
      </c>
      <c r="AF45" s="18">
        <v>40</v>
      </c>
      <c r="AG45" s="18">
        <v>30</v>
      </c>
      <c r="AH45" s="18">
        <f t="shared" si="34"/>
        <v>70</v>
      </c>
      <c r="AI45" s="18">
        <v>45</v>
      </c>
      <c r="AJ45" s="18">
        <v>35</v>
      </c>
      <c r="AK45" s="18">
        <f t="shared" si="35"/>
        <v>80</v>
      </c>
      <c r="AL45" s="18">
        <f t="shared" si="36"/>
        <v>85</v>
      </c>
      <c r="AM45" s="18">
        <f t="shared" si="37"/>
        <v>42.5</v>
      </c>
      <c r="AN45" s="18">
        <f t="shared" si="38"/>
        <v>65</v>
      </c>
      <c r="AO45" s="18">
        <f t="shared" si="39"/>
        <v>32.5</v>
      </c>
      <c r="AP45" s="26">
        <v>107</v>
      </c>
      <c r="AQ45" s="31">
        <v>30</v>
      </c>
    </row>
    <row r="46" spans="1:89" s="200" customFormat="1" ht="15.75" customHeight="1">
      <c r="B46" s="201" t="s">
        <v>529</v>
      </c>
      <c r="C46" s="202" t="s">
        <v>530</v>
      </c>
      <c r="D46" s="203">
        <v>156</v>
      </c>
      <c r="E46" s="204" t="s">
        <v>605</v>
      </c>
      <c r="F46" s="205" t="s">
        <v>30</v>
      </c>
      <c r="G46" s="206" t="s">
        <v>397</v>
      </c>
      <c r="H46" s="207">
        <v>37</v>
      </c>
      <c r="I46" s="207">
        <v>65</v>
      </c>
      <c r="J46" s="207">
        <v>102</v>
      </c>
      <c r="K46" s="208">
        <v>51</v>
      </c>
      <c r="L46" s="209">
        <v>40</v>
      </c>
      <c r="M46" s="209">
        <v>24</v>
      </c>
      <c r="N46" s="209">
        <v>64</v>
      </c>
      <c r="O46" s="206">
        <v>32</v>
      </c>
      <c r="P46" s="209">
        <v>50</v>
      </c>
      <c r="Q46" s="209">
        <v>25</v>
      </c>
      <c r="R46" s="209">
        <v>75</v>
      </c>
      <c r="S46" s="206">
        <v>37.5</v>
      </c>
      <c r="T46" s="210"/>
      <c r="U46" s="210">
        <f>SUM(K46,O46,S46)</f>
        <v>120.5</v>
      </c>
      <c r="BL46" s="211"/>
      <c r="BM46" s="211"/>
      <c r="BN46" s="211"/>
      <c r="BO46" s="212">
        <f>SUM(K7,O7,S7)</f>
        <v>167</v>
      </c>
      <c r="BP46" s="206">
        <v>33</v>
      </c>
      <c r="BQ46" s="206">
        <v>30</v>
      </c>
      <c r="BR46" s="206">
        <v>30</v>
      </c>
      <c r="BS46" s="206">
        <f>SUM(BP46:BR46)</f>
        <v>93</v>
      </c>
      <c r="BT46" s="206">
        <v>31</v>
      </c>
      <c r="BU46" s="206">
        <v>33</v>
      </c>
      <c r="BV46" s="206">
        <v>32</v>
      </c>
      <c r="BW46" s="206">
        <f>SUM(BT46:BV46)</f>
        <v>96</v>
      </c>
      <c r="BX46" s="206">
        <f>SUM(BS46,BW46)</f>
        <v>189</v>
      </c>
      <c r="BY46" s="206">
        <f>BX46/2</f>
        <v>94.5</v>
      </c>
      <c r="BZ46" s="206">
        <v>40</v>
      </c>
      <c r="CA46" s="206">
        <v>20</v>
      </c>
      <c r="CB46" s="206">
        <f>SUM(BZ46:CA46)</f>
        <v>60</v>
      </c>
      <c r="CC46" s="206">
        <v>50</v>
      </c>
      <c r="CD46" s="206">
        <v>35</v>
      </c>
      <c r="CE46" s="206">
        <f>SUM(CC46:CD46)</f>
        <v>85</v>
      </c>
      <c r="CF46" s="206">
        <f>SUM(BZ46,CC46)</f>
        <v>90</v>
      </c>
      <c r="CG46" s="206">
        <f>CF46/2</f>
        <v>45</v>
      </c>
      <c r="CH46" s="206">
        <f>SUM(CA46,CD46)</f>
        <v>55</v>
      </c>
      <c r="CI46" s="206">
        <f>CH46/2</f>
        <v>27.5</v>
      </c>
      <c r="CJ46" s="213">
        <v>10</v>
      </c>
      <c r="CK46" s="214" t="s">
        <v>368</v>
      </c>
    </row>
    <row r="47" spans="1:89" s="20" customFormat="1">
      <c r="A47" s="23"/>
      <c r="B47" s="10" t="s">
        <v>548</v>
      </c>
      <c r="C47" s="22" t="s">
        <v>549</v>
      </c>
      <c r="D47" s="23">
        <v>343</v>
      </c>
      <c r="E47" s="70" t="s">
        <v>606</v>
      </c>
      <c r="F47" s="28" t="s">
        <v>30</v>
      </c>
      <c r="G47" s="18" t="s">
        <v>377</v>
      </c>
      <c r="H47" s="36">
        <v>46</v>
      </c>
      <c r="I47" s="36">
        <v>70</v>
      </c>
      <c r="J47" s="36">
        <v>116</v>
      </c>
      <c r="K47" s="89">
        <v>58</v>
      </c>
      <c r="L47" s="90">
        <v>40</v>
      </c>
      <c r="M47" s="90">
        <v>22</v>
      </c>
      <c r="N47" s="90">
        <v>62</v>
      </c>
      <c r="O47" s="91">
        <v>31</v>
      </c>
      <c r="P47" s="90">
        <v>30</v>
      </c>
      <c r="Q47" s="90">
        <v>24</v>
      </c>
      <c r="R47" s="90">
        <v>54</v>
      </c>
      <c r="S47" s="91">
        <v>27</v>
      </c>
      <c r="T47" s="88"/>
      <c r="U47" s="86">
        <f t="shared" si="29"/>
        <v>116</v>
      </c>
      <c r="V47" s="18">
        <v>18</v>
      </c>
      <c r="W47" s="18">
        <v>13</v>
      </c>
      <c r="X47" s="18">
        <v>15</v>
      </c>
      <c r="Y47" s="18">
        <f t="shared" si="30"/>
        <v>46</v>
      </c>
      <c r="Z47" s="18">
        <v>25</v>
      </c>
      <c r="AA47" s="18">
        <v>25</v>
      </c>
      <c r="AB47" s="18">
        <v>20</v>
      </c>
      <c r="AC47" s="18">
        <f t="shared" si="31"/>
        <v>70</v>
      </c>
      <c r="AD47" s="18">
        <f t="shared" si="32"/>
        <v>116</v>
      </c>
      <c r="AE47" s="18">
        <f t="shared" si="33"/>
        <v>58</v>
      </c>
      <c r="AF47" s="18">
        <v>40</v>
      </c>
      <c r="AG47" s="18">
        <v>30</v>
      </c>
      <c r="AH47" s="18">
        <f t="shared" si="34"/>
        <v>70</v>
      </c>
      <c r="AI47" s="18">
        <v>22</v>
      </c>
      <c r="AJ47" s="18">
        <v>24</v>
      </c>
      <c r="AK47" s="18">
        <f t="shared" si="35"/>
        <v>46</v>
      </c>
      <c r="AL47" s="18">
        <f t="shared" si="36"/>
        <v>62</v>
      </c>
      <c r="AM47" s="18">
        <f t="shared" si="37"/>
        <v>31</v>
      </c>
      <c r="AN47" s="18">
        <f t="shared" si="38"/>
        <v>54</v>
      </c>
      <c r="AO47" s="18">
        <f t="shared" si="39"/>
        <v>27</v>
      </c>
      <c r="AP47" s="26">
        <v>23</v>
      </c>
      <c r="AQ47" s="29" t="s">
        <v>533</v>
      </c>
    </row>
    <row r="48" spans="1:89" s="20" customFormat="1">
      <c r="A48" s="23"/>
      <c r="B48" s="10" t="s">
        <v>552</v>
      </c>
      <c r="C48" s="22" t="s">
        <v>553</v>
      </c>
      <c r="D48" s="23">
        <v>8</v>
      </c>
      <c r="E48" s="70" t="s">
        <v>603</v>
      </c>
      <c r="F48" s="41" t="s">
        <v>30</v>
      </c>
      <c r="G48" s="25" t="s">
        <v>425</v>
      </c>
      <c r="H48" s="60">
        <v>63</v>
      </c>
      <c r="I48" s="60">
        <v>75</v>
      </c>
      <c r="J48" s="60">
        <v>138</v>
      </c>
      <c r="K48" s="86">
        <v>69</v>
      </c>
      <c r="L48" s="87">
        <v>20</v>
      </c>
      <c r="M48" s="87">
        <v>20</v>
      </c>
      <c r="N48" s="87">
        <v>40</v>
      </c>
      <c r="O48" s="86">
        <v>20</v>
      </c>
      <c r="P48" s="87">
        <v>20</v>
      </c>
      <c r="Q48" s="87">
        <v>30</v>
      </c>
      <c r="R48" s="87">
        <v>50</v>
      </c>
      <c r="S48" s="86">
        <v>25</v>
      </c>
      <c r="T48" s="88"/>
      <c r="U48" s="86">
        <f t="shared" si="29"/>
        <v>114</v>
      </c>
      <c r="V48" s="18">
        <v>20</v>
      </c>
      <c r="W48" s="18">
        <v>17</v>
      </c>
      <c r="X48" s="18">
        <v>26</v>
      </c>
      <c r="Y48" s="18">
        <f t="shared" si="30"/>
        <v>63</v>
      </c>
      <c r="Z48" s="18">
        <v>30</v>
      </c>
      <c r="AA48" s="18">
        <v>25</v>
      </c>
      <c r="AB48" s="18">
        <v>20</v>
      </c>
      <c r="AC48" s="18">
        <f t="shared" si="31"/>
        <v>75</v>
      </c>
      <c r="AD48" s="18">
        <f t="shared" si="32"/>
        <v>138</v>
      </c>
      <c r="AE48" s="18">
        <f t="shared" si="33"/>
        <v>69</v>
      </c>
      <c r="AF48" s="18">
        <v>20</v>
      </c>
      <c r="AG48" s="18">
        <v>20</v>
      </c>
      <c r="AH48" s="18">
        <f t="shared" si="34"/>
        <v>40</v>
      </c>
      <c r="AI48" s="18">
        <v>20</v>
      </c>
      <c r="AJ48" s="18">
        <v>30</v>
      </c>
      <c r="AK48" s="18">
        <f t="shared" si="35"/>
        <v>50</v>
      </c>
      <c r="AL48" s="18">
        <f t="shared" si="36"/>
        <v>40</v>
      </c>
      <c r="AM48" s="18">
        <f t="shared" si="37"/>
        <v>20</v>
      </c>
      <c r="AN48" s="18">
        <f t="shared" si="38"/>
        <v>50</v>
      </c>
      <c r="AO48" s="18">
        <f t="shared" si="39"/>
        <v>25</v>
      </c>
      <c r="AP48" s="26">
        <v>89</v>
      </c>
      <c r="AQ48" s="27" t="s">
        <v>426</v>
      </c>
    </row>
    <row r="49" spans="1:43" s="20" customFormat="1" ht="15.75" customHeight="1">
      <c r="A49" s="23"/>
      <c r="B49" s="10" t="s">
        <v>575</v>
      </c>
      <c r="C49" s="22" t="s">
        <v>576</v>
      </c>
      <c r="D49" s="23">
        <v>97</v>
      </c>
      <c r="E49" s="70" t="s">
        <v>606</v>
      </c>
      <c r="F49" s="28" t="s">
        <v>30</v>
      </c>
      <c r="G49" s="18" t="s">
        <v>377</v>
      </c>
      <c r="H49" s="36">
        <v>56</v>
      </c>
      <c r="I49" s="36">
        <v>60</v>
      </c>
      <c r="J49" s="36">
        <v>116</v>
      </c>
      <c r="K49" s="89">
        <v>58</v>
      </c>
      <c r="L49" s="90">
        <v>30</v>
      </c>
      <c r="M49" s="90">
        <v>20</v>
      </c>
      <c r="N49" s="90">
        <v>50</v>
      </c>
      <c r="O49" s="91">
        <v>25</v>
      </c>
      <c r="P49" s="90">
        <v>20</v>
      </c>
      <c r="Q49" s="90">
        <v>20</v>
      </c>
      <c r="R49" s="90">
        <v>40</v>
      </c>
      <c r="S49" s="91">
        <v>20</v>
      </c>
      <c r="T49" s="88"/>
      <c r="U49" s="86">
        <f t="shared" si="29"/>
        <v>103</v>
      </c>
      <c r="V49" s="18">
        <v>17</v>
      </c>
      <c r="W49" s="18">
        <v>18</v>
      </c>
      <c r="X49" s="18">
        <v>21</v>
      </c>
      <c r="Y49" s="18">
        <f t="shared" si="30"/>
        <v>56</v>
      </c>
      <c r="Z49" s="18">
        <v>25</v>
      </c>
      <c r="AA49" s="18">
        <v>20</v>
      </c>
      <c r="AB49" s="18">
        <v>15</v>
      </c>
      <c r="AC49" s="18">
        <f t="shared" si="31"/>
        <v>60</v>
      </c>
      <c r="AD49" s="18">
        <f t="shared" si="32"/>
        <v>116</v>
      </c>
      <c r="AE49" s="18">
        <f t="shared" si="33"/>
        <v>58</v>
      </c>
      <c r="AF49" s="18">
        <v>30</v>
      </c>
      <c r="AG49" s="18">
        <v>20</v>
      </c>
      <c r="AH49" s="18">
        <f t="shared" si="34"/>
        <v>50</v>
      </c>
      <c r="AI49" s="18">
        <v>20</v>
      </c>
      <c r="AJ49" s="18">
        <v>20</v>
      </c>
      <c r="AK49" s="18">
        <f t="shared" si="35"/>
        <v>40</v>
      </c>
      <c r="AL49" s="18">
        <f t="shared" si="36"/>
        <v>50</v>
      </c>
      <c r="AM49" s="18">
        <f t="shared" si="37"/>
        <v>25</v>
      </c>
      <c r="AN49" s="18">
        <f t="shared" si="38"/>
        <v>40</v>
      </c>
      <c r="AO49" s="18">
        <f t="shared" si="39"/>
        <v>20</v>
      </c>
      <c r="AP49" s="26">
        <v>59</v>
      </c>
      <c r="AQ49" s="29" t="s">
        <v>533</v>
      </c>
    </row>
    <row r="50" spans="1:43" s="20" customFormat="1" ht="15.75" customHeight="1">
      <c r="A50" s="23"/>
      <c r="B50" s="10" t="s">
        <v>443</v>
      </c>
      <c r="C50" s="22" t="s">
        <v>444</v>
      </c>
      <c r="D50" s="23">
        <v>172</v>
      </c>
      <c r="E50" s="70" t="s">
        <v>607</v>
      </c>
      <c r="F50" s="12" t="s">
        <v>341</v>
      </c>
      <c r="G50" s="18" t="s">
        <v>29</v>
      </c>
      <c r="H50" s="36">
        <v>43</v>
      </c>
      <c r="I50" s="36">
        <v>50</v>
      </c>
      <c r="J50" s="36">
        <v>93</v>
      </c>
      <c r="K50" s="89">
        <v>46.5</v>
      </c>
      <c r="L50" s="90">
        <v>50</v>
      </c>
      <c r="M50" s="90">
        <v>45</v>
      </c>
      <c r="N50" s="90">
        <v>95</v>
      </c>
      <c r="O50" s="91">
        <v>47.5</v>
      </c>
      <c r="P50" s="90">
        <v>48</v>
      </c>
      <c r="Q50" s="90">
        <v>45</v>
      </c>
      <c r="R50" s="90">
        <v>93</v>
      </c>
      <c r="S50" s="91">
        <v>46.5</v>
      </c>
      <c r="T50" s="88"/>
      <c r="U50" s="86">
        <f t="shared" ref="U50:U70" si="40">SUM(K50,O50,S50)</f>
        <v>140.5</v>
      </c>
      <c r="V50" s="18">
        <v>18</v>
      </c>
      <c r="W50" s="18">
        <v>10</v>
      </c>
      <c r="X50" s="18">
        <v>15</v>
      </c>
      <c r="Y50" s="18">
        <f t="shared" ref="Y50:Y70" si="41">SUM(V50:X50)</f>
        <v>43</v>
      </c>
      <c r="Z50" s="18">
        <v>15</v>
      </c>
      <c r="AA50" s="18">
        <v>15</v>
      </c>
      <c r="AB50" s="18">
        <v>20</v>
      </c>
      <c r="AC50" s="18">
        <f t="shared" ref="AC50:AC70" si="42">SUM(Z50:AB50)</f>
        <v>50</v>
      </c>
      <c r="AD50" s="18">
        <f t="shared" ref="AD50:AD70" si="43">SUM(Y50,AC50)</f>
        <v>93</v>
      </c>
      <c r="AE50" s="18">
        <f t="shared" ref="AE50:AE70" si="44">AD50/2</f>
        <v>46.5</v>
      </c>
      <c r="AF50" s="18">
        <v>50</v>
      </c>
      <c r="AG50" s="18">
        <v>48</v>
      </c>
      <c r="AH50" s="18">
        <f t="shared" ref="AH50:AH70" si="45">SUM(AF50:AG50)</f>
        <v>98</v>
      </c>
      <c r="AI50" s="18">
        <v>45</v>
      </c>
      <c r="AJ50" s="18">
        <v>45</v>
      </c>
      <c r="AK50" s="18">
        <f t="shared" ref="AK50:AK70" si="46">SUM(AI50:AJ50)</f>
        <v>90</v>
      </c>
      <c r="AL50" s="18">
        <f t="shared" ref="AL50:AL70" si="47">SUM(AF50,AI50)</f>
        <v>95</v>
      </c>
      <c r="AM50" s="18">
        <f t="shared" ref="AM50:AM70" si="48">AL50/2</f>
        <v>47.5</v>
      </c>
      <c r="AN50" s="18">
        <f t="shared" ref="AN50:AN70" si="49">SUM(AG50,AJ50)</f>
        <v>93</v>
      </c>
      <c r="AO50" s="18">
        <f t="shared" ref="AO50:AO70" si="50">AN50/2</f>
        <v>46.5</v>
      </c>
      <c r="AP50" s="26">
        <v>21</v>
      </c>
      <c r="AQ50" s="29" t="s">
        <v>445</v>
      </c>
    </row>
    <row r="51" spans="1:43" s="20" customFormat="1" ht="15.75" customHeight="1">
      <c r="A51" s="23"/>
      <c r="B51" s="10" t="s">
        <v>451</v>
      </c>
      <c r="C51" s="22" t="s">
        <v>452</v>
      </c>
      <c r="D51" s="23">
        <v>107</v>
      </c>
      <c r="E51" s="70" t="s">
        <v>606</v>
      </c>
      <c r="F51" s="28" t="s">
        <v>29</v>
      </c>
      <c r="G51" s="18" t="s">
        <v>422</v>
      </c>
      <c r="H51" s="36">
        <v>44</v>
      </c>
      <c r="I51" s="36">
        <v>40</v>
      </c>
      <c r="J51" s="36">
        <v>84</v>
      </c>
      <c r="K51" s="89">
        <v>42</v>
      </c>
      <c r="L51" s="90">
        <v>48</v>
      </c>
      <c r="M51" s="90">
        <v>50</v>
      </c>
      <c r="N51" s="90">
        <v>98</v>
      </c>
      <c r="O51" s="91">
        <v>49</v>
      </c>
      <c r="P51" s="90">
        <v>48</v>
      </c>
      <c r="Q51" s="90">
        <v>49</v>
      </c>
      <c r="R51" s="90">
        <v>97</v>
      </c>
      <c r="S51" s="91">
        <v>48.5</v>
      </c>
      <c r="T51" s="88"/>
      <c r="U51" s="86">
        <f t="shared" si="40"/>
        <v>139.5</v>
      </c>
      <c r="V51" s="18">
        <v>10</v>
      </c>
      <c r="W51" s="18">
        <v>18</v>
      </c>
      <c r="X51" s="18">
        <v>16</v>
      </c>
      <c r="Y51" s="18">
        <f t="shared" si="41"/>
        <v>44</v>
      </c>
      <c r="Z51" s="18">
        <v>10</v>
      </c>
      <c r="AA51" s="18">
        <v>15</v>
      </c>
      <c r="AB51" s="18">
        <v>15</v>
      </c>
      <c r="AC51" s="18">
        <f t="shared" si="42"/>
        <v>40</v>
      </c>
      <c r="AD51" s="18">
        <f t="shared" si="43"/>
        <v>84</v>
      </c>
      <c r="AE51" s="18">
        <f t="shared" si="44"/>
        <v>42</v>
      </c>
      <c r="AF51" s="18">
        <v>48</v>
      </c>
      <c r="AG51" s="18">
        <v>48</v>
      </c>
      <c r="AH51" s="18">
        <f t="shared" si="45"/>
        <v>96</v>
      </c>
      <c r="AI51" s="18">
        <v>50</v>
      </c>
      <c r="AJ51" s="18">
        <v>49</v>
      </c>
      <c r="AK51" s="18">
        <f t="shared" si="46"/>
        <v>99</v>
      </c>
      <c r="AL51" s="18">
        <f t="shared" si="47"/>
        <v>98</v>
      </c>
      <c r="AM51" s="18">
        <f t="shared" si="48"/>
        <v>49</v>
      </c>
      <c r="AN51" s="18">
        <f t="shared" si="49"/>
        <v>97</v>
      </c>
      <c r="AO51" s="18">
        <f t="shared" si="50"/>
        <v>48.5</v>
      </c>
      <c r="AP51" s="26">
        <v>34</v>
      </c>
      <c r="AQ51" s="29" t="s">
        <v>442</v>
      </c>
    </row>
    <row r="52" spans="1:43" s="20" customFormat="1" ht="15.75" customHeight="1">
      <c r="A52" s="23"/>
      <c r="B52" s="10" t="s">
        <v>461</v>
      </c>
      <c r="C52" s="22" t="s">
        <v>462</v>
      </c>
      <c r="D52" s="23">
        <v>292</v>
      </c>
      <c r="E52" s="70" t="s">
        <v>609</v>
      </c>
      <c r="F52" s="28" t="s">
        <v>341</v>
      </c>
      <c r="G52" s="35" t="s">
        <v>361</v>
      </c>
      <c r="H52" s="36">
        <v>40</v>
      </c>
      <c r="I52" s="36">
        <v>50</v>
      </c>
      <c r="J52" s="36">
        <v>90</v>
      </c>
      <c r="K52" s="97">
        <v>45</v>
      </c>
      <c r="L52" s="90">
        <v>46</v>
      </c>
      <c r="M52" s="90">
        <v>47</v>
      </c>
      <c r="N52" s="90">
        <v>93</v>
      </c>
      <c r="O52" s="90">
        <v>46.5</v>
      </c>
      <c r="P52" s="90">
        <v>46</v>
      </c>
      <c r="Q52" s="90">
        <v>47</v>
      </c>
      <c r="R52" s="90">
        <v>93</v>
      </c>
      <c r="S52" s="90">
        <v>46.5</v>
      </c>
      <c r="T52" s="88"/>
      <c r="U52" s="86">
        <f t="shared" si="40"/>
        <v>138</v>
      </c>
      <c r="V52" s="18">
        <v>10</v>
      </c>
      <c r="W52" s="18">
        <v>20</v>
      </c>
      <c r="X52" s="18">
        <v>10</v>
      </c>
      <c r="Y52" s="18">
        <f t="shared" si="41"/>
        <v>40</v>
      </c>
      <c r="Z52" s="18">
        <v>20</v>
      </c>
      <c r="AA52" s="18">
        <v>20</v>
      </c>
      <c r="AB52" s="18">
        <v>10</v>
      </c>
      <c r="AC52" s="18">
        <f t="shared" si="42"/>
        <v>50</v>
      </c>
      <c r="AD52" s="18">
        <f t="shared" si="43"/>
        <v>90</v>
      </c>
      <c r="AE52" s="18">
        <f t="shared" si="44"/>
        <v>45</v>
      </c>
      <c r="AF52" s="18">
        <v>46</v>
      </c>
      <c r="AG52" s="18">
        <v>46</v>
      </c>
      <c r="AH52" s="18">
        <f t="shared" si="45"/>
        <v>92</v>
      </c>
      <c r="AI52" s="18">
        <v>47</v>
      </c>
      <c r="AJ52" s="18">
        <v>47</v>
      </c>
      <c r="AK52" s="18">
        <f t="shared" si="46"/>
        <v>94</v>
      </c>
      <c r="AL52" s="18">
        <f t="shared" si="47"/>
        <v>93</v>
      </c>
      <c r="AM52" s="18">
        <f t="shared" si="48"/>
        <v>46.5</v>
      </c>
      <c r="AN52" s="18">
        <f t="shared" si="49"/>
        <v>93</v>
      </c>
      <c r="AO52" s="18">
        <f t="shared" si="50"/>
        <v>46.5</v>
      </c>
      <c r="AP52" s="26">
        <v>76</v>
      </c>
      <c r="AQ52" s="37" t="s">
        <v>463</v>
      </c>
    </row>
    <row r="53" spans="1:43" s="20" customFormat="1" ht="15.75" customHeight="1">
      <c r="A53" s="23"/>
      <c r="B53" s="38" t="s">
        <v>466</v>
      </c>
      <c r="C53" s="10" t="s">
        <v>467</v>
      </c>
      <c r="D53" s="23">
        <v>527</v>
      </c>
      <c r="E53" s="70" t="s">
        <v>609</v>
      </c>
      <c r="F53" s="12" t="s">
        <v>28</v>
      </c>
      <c r="G53" s="18" t="s">
        <v>30</v>
      </c>
      <c r="H53" s="36">
        <v>40</v>
      </c>
      <c r="I53" s="36">
        <v>50</v>
      </c>
      <c r="J53" s="36">
        <v>90</v>
      </c>
      <c r="K53" s="89">
        <v>45</v>
      </c>
      <c r="L53" s="90">
        <v>50</v>
      </c>
      <c r="M53" s="90">
        <v>45</v>
      </c>
      <c r="N53" s="90">
        <v>95</v>
      </c>
      <c r="O53" s="91">
        <v>47.5</v>
      </c>
      <c r="P53" s="90">
        <v>50</v>
      </c>
      <c r="Q53" s="90">
        <v>40</v>
      </c>
      <c r="R53" s="90">
        <v>90</v>
      </c>
      <c r="S53" s="91">
        <v>45</v>
      </c>
      <c r="T53" s="88"/>
      <c r="U53" s="86">
        <f t="shared" si="40"/>
        <v>137.5</v>
      </c>
      <c r="V53" s="18">
        <v>20</v>
      </c>
      <c r="W53" s="18">
        <v>15</v>
      </c>
      <c r="X53" s="18">
        <v>5</v>
      </c>
      <c r="Y53" s="18">
        <f t="shared" si="41"/>
        <v>40</v>
      </c>
      <c r="Z53" s="18">
        <v>25</v>
      </c>
      <c r="AA53" s="18">
        <v>20</v>
      </c>
      <c r="AB53" s="18">
        <v>5</v>
      </c>
      <c r="AC53" s="18">
        <f t="shared" si="42"/>
        <v>50</v>
      </c>
      <c r="AD53" s="18">
        <f t="shared" si="43"/>
        <v>90</v>
      </c>
      <c r="AE53" s="18">
        <f t="shared" si="44"/>
        <v>45</v>
      </c>
      <c r="AF53" s="18">
        <v>50</v>
      </c>
      <c r="AG53" s="18">
        <v>50</v>
      </c>
      <c r="AH53" s="18">
        <f t="shared" si="45"/>
        <v>100</v>
      </c>
      <c r="AI53" s="18">
        <v>45</v>
      </c>
      <c r="AJ53" s="18">
        <v>40</v>
      </c>
      <c r="AK53" s="18">
        <f t="shared" si="46"/>
        <v>85</v>
      </c>
      <c r="AL53" s="18">
        <f t="shared" si="47"/>
        <v>95</v>
      </c>
      <c r="AM53" s="18">
        <f t="shared" si="48"/>
        <v>47.5</v>
      </c>
      <c r="AN53" s="18">
        <f t="shared" si="49"/>
        <v>90</v>
      </c>
      <c r="AO53" s="18">
        <f t="shared" si="50"/>
        <v>45</v>
      </c>
      <c r="AP53" s="26">
        <v>108</v>
      </c>
      <c r="AQ53" s="31" t="s">
        <v>374</v>
      </c>
    </row>
    <row r="54" spans="1:43" s="20" customFormat="1" ht="15.75" customHeight="1">
      <c r="A54" s="23"/>
      <c r="B54" s="10" t="s">
        <v>1241</v>
      </c>
      <c r="C54" s="22" t="s">
        <v>468</v>
      </c>
      <c r="D54" s="23">
        <v>40</v>
      </c>
      <c r="E54" s="70" t="s">
        <v>603</v>
      </c>
      <c r="F54" s="24" t="s">
        <v>341</v>
      </c>
      <c r="G54" s="39" t="s">
        <v>393</v>
      </c>
      <c r="H54" s="61">
        <v>45</v>
      </c>
      <c r="I54" s="61">
        <v>50</v>
      </c>
      <c r="J54" s="61">
        <v>95</v>
      </c>
      <c r="K54" s="86">
        <v>47.5</v>
      </c>
      <c r="L54" s="87">
        <v>49</v>
      </c>
      <c r="M54" s="87">
        <v>45</v>
      </c>
      <c r="N54" s="87">
        <v>94</v>
      </c>
      <c r="O54" s="86">
        <v>47</v>
      </c>
      <c r="P54" s="87">
        <v>45</v>
      </c>
      <c r="Q54" s="87">
        <v>40</v>
      </c>
      <c r="R54" s="87">
        <v>85</v>
      </c>
      <c r="S54" s="86">
        <v>42.5</v>
      </c>
      <c r="T54" s="88"/>
      <c r="U54" s="86">
        <f t="shared" si="40"/>
        <v>137</v>
      </c>
      <c r="V54" s="18">
        <v>15</v>
      </c>
      <c r="W54" s="18">
        <v>10</v>
      </c>
      <c r="X54" s="18">
        <v>20</v>
      </c>
      <c r="Y54" s="18">
        <f t="shared" si="41"/>
        <v>45</v>
      </c>
      <c r="Z54" s="18">
        <v>15</v>
      </c>
      <c r="AA54" s="18">
        <v>20</v>
      </c>
      <c r="AB54" s="18">
        <v>15</v>
      </c>
      <c r="AC54" s="18">
        <f t="shared" si="42"/>
        <v>50</v>
      </c>
      <c r="AD54" s="18">
        <f t="shared" si="43"/>
        <v>95</v>
      </c>
      <c r="AE54" s="18">
        <f t="shared" si="44"/>
        <v>47.5</v>
      </c>
      <c r="AF54" s="18">
        <v>49</v>
      </c>
      <c r="AG54" s="18">
        <v>45</v>
      </c>
      <c r="AH54" s="18">
        <f t="shared" si="45"/>
        <v>94</v>
      </c>
      <c r="AI54" s="18">
        <v>45</v>
      </c>
      <c r="AJ54" s="18">
        <v>40</v>
      </c>
      <c r="AK54" s="18">
        <f t="shared" si="46"/>
        <v>85</v>
      </c>
      <c r="AL54" s="18">
        <f t="shared" si="47"/>
        <v>94</v>
      </c>
      <c r="AM54" s="18">
        <f t="shared" si="48"/>
        <v>47</v>
      </c>
      <c r="AN54" s="18">
        <f t="shared" si="49"/>
        <v>85</v>
      </c>
      <c r="AO54" s="18">
        <f t="shared" si="50"/>
        <v>42.5</v>
      </c>
      <c r="AP54" s="26">
        <v>13</v>
      </c>
      <c r="AQ54" s="40" t="s">
        <v>437</v>
      </c>
    </row>
    <row r="55" spans="1:43" s="20" customFormat="1" ht="15.75" customHeight="1">
      <c r="A55" s="23"/>
      <c r="B55" s="10" t="s">
        <v>1242</v>
      </c>
      <c r="C55" s="22" t="s">
        <v>472</v>
      </c>
      <c r="D55" s="23">
        <v>109</v>
      </c>
      <c r="E55" s="70" t="s">
        <v>607</v>
      </c>
      <c r="F55" s="28" t="s">
        <v>30</v>
      </c>
      <c r="G55" s="18" t="s">
        <v>422</v>
      </c>
      <c r="H55" s="36">
        <v>43</v>
      </c>
      <c r="I55" s="36">
        <v>50</v>
      </c>
      <c r="J55" s="36">
        <v>93</v>
      </c>
      <c r="K55" s="89">
        <v>46.5</v>
      </c>
      <c r="L55" s="90">
        <v>45</v>
      </c>
      <c r="M55" s="90">
        <v>45</v>
      </c>
      <c r="N55" s="90">
        <v>90</v>
      </c>
      <c r="O55" s="91">
        <v>45</v>
      </c>
      <c r="P55" s="90">
        <v>40</v>
      </c>
      <c r="Q55" s="90">
        <v>50</v>
      </c>
      <c r="R55" s="90">
        <v>90</v>
      </c>
      <c r="S55" s="91">
        <v>45</v>
      </c>
      <c r="T55" s="88"/>
      <c r="U55" s="86">
        <f t="shared" si="40"/>
        <v>136.5</v>
      </c>
      <c r="V55" s="18">
        <v>18</v>
      </c>
      <c r="W55" s="18">
        <v>10</v>
      </c>
      <c r="X55" s="18">
        <v>15</v>
      </c>
      <c r="Y55" s="18">
        <f t="shared" si="41"/>
        <v>43</v>
      </c>
      <c r="Z55" s="18">
        <v>20</v>
      </c>
      <c r="AA55" s="18">
        <v>5</v>
      </c>
      <c r="AB55" s="18">
        <v>25</v>
      </c>
      <c r="AC55" s="18">
        <f t="shared" si="42"/>
        <v>50</v>
      </c>
      <c r="AD55" s="18">
        <f t="shared" si="43"/>
        <v>93</v>
      </c>
      <c r="AE55" s="18">
        <f t="shared" si="44"/>
        <v>46.5</v>
      </c>
      <c r="AF55" s="18">
        <v>45</v>
      </c>
      <c r="AG55" s="18">
        <v>40</v>
      </c>
      <c r="AH55" s="18">
        <f t="shared" si="45"/>
        <v>85</v>
      </c>
      <c r="AI55" s="18">
        <v>45</v>
      </c>
      <c r="AJ55" s="18">
        <v>50</v>
      </c>
      <c r="AK55" s="18">
        <f t="shared" si="46"/>
        <v>95</v>
      </c>
      <c r="AL55" s="18">
        <f t="shared" si="47"/>
        <v>90</v>
      </c>
      <c r="AM55" s="18">
        <f t="shared" si="48"/>
        <v>45</v>
      </c>
      <c r="AN55" s="18">
        <f t="shared" si="49"/>
        <v>90</v>
      </c>
      <c r="AO55" s="18">
        <f t="shared" si="50"/>
        <v>45</v>
      </c>
      <c r="AP55" s="26">
        <v>37</v>
      </c>
      <c r="AQ55" s="29" t="s">
        <v>423</v>
      </c>
    </row>
    <row r="56" spans="1:43" s="20" customFormat="1" ht="15.75" customHeight="1">
      <c r="A56" s="23"/>
      <c r="B56" s="10" t="s">
        <v>473</v>
      </c>
      <c r="C56" s="22" t="s">
        <v>474</v>
      </c>
      <c r="D56" s="23">
        <v>247</v>
      </c>
      <c r="E56" s="70" t="s">
        <v>603</v>
      </c>
      <c r="F56" s="24" t="s">
        <v>341</v>
      </c>
      <c r="G56" s="25" t="s">
        <v>30</v>
      </c>
      <c r="H56" s="60">
        <v>45</v>
      </c>
      <c r="I56" s="60">
        <v>43</v>
      </c>
      <c r="J56" s="60">
        <v>88</v>
      </c>
      <c r="K56" s="86">
        <v>44</v>
      </c>
      <c r="L56" s="87">
        <v>46</v>
      </c>
      <c r="M56" s="87">
        <v>46</v>
      </c>
      <c r="N56" s="87">
        <v>92</v>
      </c>
      <c r="O56" s="86">
        <v>46</v>
      </c>
      <c r="P56" s="87">
        <v>46</v>
      </c>
      <c r="Q56" s="87">
        <v>46</v>
      </c>
      <c r="R56" s="87">
        <v>92</v>
      </c>
      <c r="S56" s="86">
        <v>46</v>
      </c>
      <c r="T56" s="88"/>
      <c r="U56" s="86">
        <f t="shared" si="40"/>
        <v>136</v>
      </c>
      <c r="V56" s="18">
        <v>20</v>
      </c>
      <c r="W56" s="18">
        <v>15</v>
      </c>
      <c r="X56" s="18">
        <v>10</v>
      </c>
      <c r="Y56" s="18">
        <f t="shared" si="41"/>
        <v>45</v>
      </c>
      <c r="Z56" s="18">
        <v>20</v>
      </c>
      <c r="AA56" s="18">
        <v>15</v>
      </c>
      <c r="AB56" s="18">
        <v>8</v>
      </c>
      <c r="AC56" s="18">
        <f t="shared" si="42"/>
        <v>43</v>
      </c>
      <c r="AD56" s="18">
        <f t="shared" si="43"/>
        <v>88</v>
      </c>
      <c r="AE56" s="18">
        <f t="shared" si="44"/>
        <v>44</v>
      </c>
      <c r="AF56" s="18">
        <v>46</v>
      </c>
      <c r="AG56" s="18">
        <v>46</v>
      </c>
      <c r="AH56" s="18">
        <f t="shared" si="45"/>
        <v>92</v>
      </c>
      <c r="AI56" s="18">
        <v>46</v>
      </c>
      <c r="AJ56" s="18">
        <v>46</v>
      </c>
      <c r="AK56" s="18">
        <f t="shared" si="46"/>
        <v>92</v>
      </c>
      <c r="AL56" s="18">
        <f t="shared" si="47"/>
        <v>92</v>
      </c>
      <c r="AM56" s="18">
        <f t="shared" si="48"/>
        <v>46</v>
      </c>
      <c r="AN56" s="18">
        <f t="shared" si="49"/>
        <v>92</v>
      </c>
      <c r="AO56" s="18">
        <f t="shared" si="50"/>
        <v>46</v>
      </c>
      <c r="AP56" s="26">
        <v>48</v>
      </c>
      <c r="AQ56" s="27" t="s">
        <v>475</v>
      </c>
    </row>
    <row r="57" spans="1:43" s="20" customFormat="1" ht="15.75" customHeight="1">
      <c r="A57" s="23"/>
      <c r="B57" s="10" t="s">
        <v>479</v>
      </c>
      <c r="C57" s="22" t="s">
        <v>480</v>
      </c>
      <c r="D57" s="23">
        <v>376</v>
      </c>
      <c r="E57" s="70" t="s">
        <v>603</v>
      </c>
      <c r="F57" s="41" t="s">
        <v>29</v>
      </c>
      <c r="G57" s="25" t="s">
        <v>422</v>
      </c>
      <c r="H57" s="60">
        <v>37</v>
      </c>
      <c r="I57" s="60">
        <v>35</v>
      </c>
      <c r="J57" s="60">
        <v>72</v>
      </c>
      <c r="K57" s="86">
        <v>36</v>
      </c>
      <c r="L57" s="87">
        <v>50</v>
      </c>
      <c r="M57" s="87">
        <v>50</v>
      </c>
      <c r="N57" s="87">
        <v>100</v>
      </c>
      <c r="O57" s="86">
        <v>50</v>
      </c>
      <c r="P57" s="87">
        <v>50</v>
      </c>
      <c r="Q57" s="87">
        <v>49</v>
      </c>
      <c r="R57" s="87">
        <v>99</v>
      </c>
      <c r="S57" s="86">
        <v>49.5</v>
      </c>
      <c r="T57" s="88"/>
      <c r="U57" s="86">
        <f t="shared" si="40"/>
        <v>135.5</v>
      </c>
      <c r="V57" s="18">
        <v>10</v>
      </c>
      <c r="W57" s="18">
        <v>12</v>
      </c>
      <c r="X57" s="18">
        <v>15</v>
      </c>
      <c r="Y57" s="18">
        <f t="shared" si="41"/>
        <v>37</v>
      </c>
      <c r="Z57" s="18">
        <v>15</v>
      </c>
      <c r="AA57" s="18">
        <v>10</v>
      </c>
      <c r="AB57" s="18">
        <v>10</v>
      </c>
      <c r="AC57" s="18">
        <f t="shared" si="42"/>
        <v>35</v>
      </c>
      <c r="AD57" s="18">
        <f t="shared" si="43"/>
        <v>72</v>
      </c>
      <c r="AE57" s="18">
        <f t="shared" si="44"/>
        <v>36</v>
      </c>
      <c r="AF57" s="18">
        <v>50</v>
      </c>
      <c r="AG57" s="18">
        <v>50</v>
      </c>
      <c r="AH57" s="18">
        <f t="shared" si="45"/>
        <v>100</v>
      </c>
      <c r="AI57" s="18">
        <v>50</v>
      </c>
      <c r="AJ57" s="18">
        <v>49</v>
      </c>
      <c r="AK57" s="18">
        <f t="shared" si="46"/>
        <v>99</v>
      </c>
      <c r="AL57" s="18">
        <f t="shared" si="47"/>
        <v>100</v>
      </c>
      <c r="AM57" s="18">
        <f t="shared" si="48"/>
        <v>50</v>
      </c>
      <c r="AN57" s="18">
        <f t="shared" si="49"/>
        <v>99</v>
      </c>
      <c r="AO57" s="18">
        <f t="shared" si="50"/>
        <v>49.5</v>
      </c>
      <c r="AP57" s="26">
        <v>69</v>
      </c>
      <c r="AQ57" s="27" t="s">
        <v>423</v>
      </c>
    </row>
    <row r="58" spans="1:43" s="20" customFormat="1">
      <c r="A58" s="23"/>
      <c r="B58" s="10" t="s">
        <v>481</v>
      </c>
      <c r="C58" s="22" t="s">
        <v>482</v>
      </c>
      <c r="D58" s="23">
        <v>215</v>
      </c>
      <c r="E58" s="70" t="s">
        <v>605</v>
      </c>
      <c r="F58" s="28" t="s">
        <v>29</v>
      </c>
      <c r="G58" s="26" t="s">
        <v>425</v>
      </c>
      <c r="H58" s="62">
        <v>44</v>
      </c>
      <c r="I58" s="62">
        <v>45</v>
      </c>
      <c r="J58" s="62">
        <v>89</v>
      </c>
      <c r="K58" s="89">
        <v>44.5</v>
      </c>
      <c r="L58" s="90">
        <v>50</v>
      </c>
      <c r="M58" s="90">
        <v>50</v>
      </c>
      <c r="N58" s="90">
        <v>100</v>
      </c>
      <c r="O58" s="91">
        <v>50</v>
      </c>
      <c r="P58" s="90">
        <v>40</v>
      </c>
      <c r="Q58" s="90">
        <v>40</v>
      </c>
      <c r="R58" s="90">
        <v>80</v>
      </c>
      <c r="S58" s="91">
        <v>40</v>
      </c>
      <c r="T58" s="88"/>
      <c r="U58" s="86">
        <f t="shared" si="40"/>
        <v>134.5</v>
      </c>
      <c r="V58" s="18">
        <v>11</v>
      </c>
      <c r="W58" s="18">
        <v>13</v>
      </c>
      <c r="X58" s="18">
        <v>20</v>
      </c>
      <c r="Y58" s="18">
        <f t="shared" si="41"/>
        <v>44</v>
      </c>
      <c r="Z58" s="18">
        <v>10</v>
      </c>
      <c r="AA58" s="18">
        <v>10</v>
      </c>
      <c r="AB58" s="18">
        <v>25</v>
      </c>
      <c r="AC58" s="18">
        <f t="shared" si="42"/>
        <v>45</v>
      </c>
      <c r="AD58" s="18">
        <f t="shared" si="43"/>
        <v>89</v>
      </c>
      <c r="AE58" s="18">
        <f t="shared" si="44"/>
        <v>44.5</v>
      </c>
      <c r="AF58" s="18">
        <v>50</v>
      </c>
      <c r="AG58" s="18">
        <v>40</v>
      </c>
      <c r="AH58" s="18">
        <f t="shared" si="45"/>
        <v>90</v>
      </c>
      <c r="AI58" s="18">
        <v>50</v>
      </c>
      <c r="AJ58" s="18">
        <v>40</v>
      </c>
      <c r="AK58" s="18">
        <f t="shared" si="46"/>
        <v>90</v>
      </c>
      <c r="AL58" s="18">
        <f t="shared" si="47"/>
        <v>100</v>
      </c>
      <c r="AM58" s="18">
        <f t="shared" si="48"/>
        <v>50</v>
      </c>
      <c r="AN58" s="18">
        <f t="shared" si="49"/>
        <v>80</v>
      </c>
      <c r="AO58" s="18">
        <f t="shared" si="50"/>
        <v>40</v>
      </c>
      <c r="AP58" s="26">
        <v>19</v>
      </c>
      <c r="AQ58" s="29" t="s">
        <v>483</v>
      </c>
    </row>
    <row r="59" spans="1:43" s="20" customFormat="1" ht="15.75" customHeight="1">
      <c r="A59" s="23"/>
      <c r="B59" s="10" t="s">
        <v>484</v>
      </c>
      <c r="C59" s="22" t="s">
        <v>485</v>
      </c>
      <c r="D59" s="23">
        <v>431</v>
      </c>
      <c r="E59" s="70" t="s">
        <v>605</v>
      </c>
      <c r="F59" s="12" t="s">
        <v>341</v>
      </c>
      <c r="G59" s="18" t="s">
        <v>393</v>
      </c>
      <c r="H59" s="36">
        <v>50</v>
      </c>
      <c r="I59" s="36">
        <v>35</v>
      </c>
      <c r="J59" s="36">
        <v>85</v>
      </c>
      <c r="K59" s="89">
        <v>42.5</v>
      </c>
      <c r="L59" s="90">
        <v>45</v>
      </c>
      <c r="M59" s="90">
        <v>45</v>
      </c>
      <c r="N59" s="90">
        <v>90</v>
      </c>
      <c r="O59" s="91">
        <v>45</v>
      </c>
      <c r="P59" s="90">
        <v>45</v>
      </c>
      <c r="Q59" s="90">
        <v>47</v>
      </c>
      <c r="R59" s="90">
        <v>92</v>
      </c>
      <c r="S59" s="91">
        <v>46</v>
      </c>
      <c r="T59" s="88"/>
      <c r="U59" s="86">
        <f t="shared" si="40"/>
        <v>133.5</v>
      </c>
      <c r="V59" s="18">
        <v>28</v>
      </c>
      <c r="W59" s="18">
        <v>12</v>
      </c>
      <c r="X59" s="18">
        <v>10</v>
      </c>
      <c r="Y59" s="18">
        <f t="shared" si="41"/>
        <v>50</v>
      </c>
      <c r="Z59" s="18">
        <v>20</v>
      </c>
      <c r="AA59" s="18">
        <v>10</v>
      </c>
      <c r="AB59" s="18">
        <v>5</v>
      </c>
      <c r="AC59" s="18">
        <f t="shared" si="42"/>
        <v>35</v>
      </c>
      <c r="AD59" s="18">
        <f t="shared" si="43"/>
        <v>85</v>
      </c>
      <c r="AE59" s="18">
        <f t="shared" si="44"/>
        <v>42.5</v>
      </c>
      <c r="AF59" s="18">
        <v>45</v>
      </c>
      <c r="AG59" s="18">
        <v>45</v>
      </c>
      <c r="AH59" s="18">
        <f t="shared" si="45"/>
        <v>90</v>
      </c>
      <c r="AI59" s="18">
        <v>45</v>
      </c>
      <c r="AJ59" s="18">
        <v>47</v>
      </c>
      <c r="AK59" s="18">
        <f t="shared" si="46"/>
        <v>92</v>
      </c>
      <c r="AL59" s="18">
        <f t="shared" si="47"/>
        <v>90</v>
      </c>
      <c r="AM59" s="18">
        <f t="shared" si="48"/>
        <v>45</v>
      </c>
      <c r="AN59" s="18">
        <f t="shared" si="49"/>
        <v>92</v>
      </c>
      <c r="AO59" s="18">
        <f t="shared" si="50"/>
        <v>46</v>
      </c>
      <c r="AP59" s="26">
        <v>74</v>
      </c>
      <c r="AQ59" s="29" t="s">
        <v>486</v>
      </c>
    </row>
    <row r="60" spans="1:43" s="20" customFormat="1" ht="15.75" customHeight="1">
      <c r="A60" s="23"/>
      <c r="B60" s="10" t="s">
        <v>487</v>
      </c>
      <c r="C60" s="22" t="s">
        <v>488</v>
      </c>
      <c r="D60" s="23">
        <v>138</v>
      </c>
      <c r="E60" s="70" t="s">
        <v>606</v>
      </c>
      <c r="F60" s="28" t="s">
        <v>29</v>
      </c>
      <c r="G60" s="18" t="s">
        <v>393</v>
      </c>
      <c r="H60" s="36">
        <v>36</v>
      </c>
      <c r="I60" s="36">
        <v>30</v>
      </c>
      <c r="J60" s="36">
        <v>66</v>
      </c>
      <c r="K60" s="89">
        <v>33</v>
      </c>
      <c r="L60" s="90">
        <v>50</v>
      </c>
      <c r="M60" s="90">
        <v>50</v>
      </c>
      <c r="N60" s="90">
        <v>100</v>
      </c>
      <c r="O60" s="91">
        <v>50</v>
      </c>
      <c r="P60" s="90">
        <v>50</v>
      </c>
      <c r="Q60" s="90">
        <v>49</v>
      </c>
      <c r="R60" s="90">
        <v>99</v>
      </c>
      <c r="S60" s="91">
        <v>49.5</v>
      </c>
      <c r="T60" s="88"/>
      <c r="U60" s="86">
        <f t="shared" si="40"/>
        <v>132.5</v>
      </c>
      <c r="V60" s="18">
        <v>12</v>
      </c>
      <c r="W60" s="18">
        <v>13</v>
      </c>
      <c r="X60" s="18">
        <v>11</v>
      </c>
      <c r="Y60" s="18">
        <f t="shared" si="41"/>
        <v>36</v>
      </c>
      <c r="Z60" s="18">
        <v>15</v>
      </c>
      <c r="AA60" s="18">
        <v>10</v>
      </c>
      <c r="AB60" s="18">
        <v>5</v>
      </c>
      <c r="AC60" s="18">
        <f t="shared" si="42"/>
        <v>30</v>
      </c>
      <c r="AD60" s="18">
        <f t="shared" si="43"/>
        <v>66</v>
      </c>
      <c r="AE60" s="18">
        <f t="shared" si="44"/>
        <v>33</v>
      </c>
      <c r="AF60" s="18">
        <v>50</v>
      </c>
      <c r="AG60" s="18">
        <v>50</v>
      </c>
      <c r="AH60" s="18">
        <f t="shared" si="45"/>
        <v>100</v>
      </c>
      <c r="AI60" s="18">
        <v>50</v>
      </c>
      <c r="AJ60" s="18">
        <v>49</v>
      </c>
      <c r="AK60" s="18">
        <f t="shared" si="46"/>
        <v>99</v>
      </c>
      <c r="AL60" s="18">
        <f t="shared" si="47"/>
        <v>100</v>
      </c>
      <c r="AM60" s="18">
        <f t="shared" si="48"/>
        <v>50</v>
      </c>
      <c r="AN60" s="18">
        <f t="shared" si="49"/>
        <v>99</v>
      </c>
      <c r="AO60" s="18">
        <f t="shared" si="50"/>
        <v>49.5</v>
      </c>
      <c r="AP60" s="26">
        <v>17</v>
      </c>
      <c r="AQ60" s="29" t="s">
        <v>489</v>
      </c>
    </row>
    <row r="61" spans="1:43" s="20" customFormat="1" ht="15.75" customHeight="1">
      <c r="A61" s="23"/>
      <c r="B61" s="10" t="s">
        <v>490</v>
      </c>
      <c r="C61" s="22" t="s">
        <v>491</v>
      </c>
      <c r="D61" s="23">
        <v>446</v>
      </c>
      <c r="E61" s="70" t="s">
        <v>606</v>
      </c>
      <c r="F61" s="28" t="s">
        <v>30</v>
      </c>
      <c r="G61" s="18" t="s">
        <v>422</v>
      </c>
      <c r="H61" s="36">
        <v>34</v>
      </c>
      <c r="I61" s="36">
        <v>53</v>
      </c>
      <c r="J61" s="36">
        <v>87</v>
      </c>
      <c r="K61" s="89">
        <v>43.5</v>
      </c>
      <c r="L61" s="90">
        <v>50</v>
      </c>
      <c r="M61" s="90">
        <v>48</v>
      </c>
      <c r="N61" s="90">
        <v>98</v>
      </c>
      <c r="O61" s="91">
        <v>49</v>
      </c>
      <c r="P61" s="90">
        <v>35</v>
      </c>
      <c r="Q61" s="90">
        <v>45</v>
      </c>
      <c r="R61" s="90">
        <v>80</v>
      </c>
      <c r="S61" s="91">
        <v>40</v>
      </c>
      <c r="T61" s="88"/>
      <c r="U61" s="86">
        <f t="shared" si="40"/>
        <v>132.5</v>
      </c>
      <c r="V61" s="18">
        <v>12</v>
      </c>
      <c r="W61" s="18">
        <v>10</v>
      </c>
      <c r="X61" s="18">
        <v>12</v>
      </c>
      <c r="Y61" s="18">
        <f t="shared" si="41"/>
        <v>34</v>
      </c>
      <c r="Z61" s="18">
        <v>18</v>
      </c>
      <c r="AA61" s="18">
        <v>10</v>
      </c>
      <c r="AB61" s="18">
        <v>25</v>
      </c>
      <c r="AC61" s="18">
        <f t="shared" si="42"/>
        <v>53</v>
      </c>
      <c r="AD61" s="18">
        <f t="shared" si="43"/>
        <v>87</v>
      </c>
      <c r="AE61" s="18">
        <f t="shared" si="44"/>
        <v>43.5</v>
      </c>
      <c r="AF61" s="18">
        <v>50</v>
      </c>
      <c r="AG61" s="18">
        <v>35</v>
      </c>
      <c r="AH61" s="18">
        <f t="shared" si="45"/>
        <v>85</v>
      </c>
      <c r="AI61" s="18">
        <v>48</v>
      </c>
      <c r="AJ61" s="18">
        <v>45</v>
      </c>
      <c r="AK61" s="18">
        <f t="shared" si="46"/>
        <v>93</v>
      </c>
      <c r="AL61" s="18">
        <f t="shared" si="47"/>
        <v>98</v>
      </c>
      <c r="AM61" s="18">
        <f t="shared" si="48"/>
        <v>49</v>
      </c>
      <c r="AN61" s="18">
        <f t="shared" si="49"/>
        <v>80</v>
      </c>
      <c r="AO61" s="18">
        <f t="shared" si="50"/>
        <v>40</v>
      </c>
      <c r="AP61" s="26">
        <v>46</v>
      </c>
      <c r="AQ61" s="29" t="s">
        <v>423</v>
      </c>
    </row>
    <row r="62" spans="1:43" s="20" customFormat="1" ht="15.75" customHeight="1">
      <c r="A62" s="23"/>
      <c r="B62" s="10" t="s">
        <v>492</v>
      </c>
      <c r="C62" s="22" t="s">
        <v>493</v>
      </c>
      <c r="D62" s="23">
        <v>29</v>
      </c>
      <c r="E62" s="70" t="s">
        <v>608</v>
      </c>
      <c r="F62" s="12" t="s">
        <v>341</v>
      </c>
      <c r="G62" s="18" t="s">
        <v>422</v>
      </c>
      <c r="H62" s="36">
        <v>45</v>
      </c>
      <c r="I62" s="36">
        <v>35</v>
      </c>
      <c r="J62" s="36">
        <v>80</v>
      </c>
      <c r="K62" s="89">
        <v>40</v>
      </c>
      <c r="L62" s="90">
        <v>46</v>
      </c>
      <c r="M62" s="90">
        <v>46</v>
      </c>
      <c r="N62" s="90">
        <v>92</v>
      </c>
      <c r="O62" s="91">
        <v>46</v>
      </c>
      <c r="P62" s="90">
        <v>47</v>
      </c>
      <c r="Q62" s="90">
        <v>46</v>
      </c>
      <c r="R62" s="90">
        <v>93</v>
      </c>
      <c r="S62" s="91">
        <v>46.5</v>
      </c>
      <c r="T62" s="88"/>
      <c r="U62" s="86">
        <f t="shared" si="40"/>
        <v>132.5</v>
      </c>
      <c r="V62" s="18">
        <v>15</v>
      </c>
      <c r="W62" s="18">
        <v>10</v>
      </c>
      <c r="X62" s="18">
        <v>20</v>
      </c>
      <c r="Y62" s="18">
        <f t="shared" si="41"/>
        <v>45</v>
      </c>
      <c r="Z62" s="18">
        <v>5</v>
      </c>
      <c r="AA62" s="18">
        <v>10</v>
      </c>
      <c r="AB62" s="18">
        <v>20</v>
      </c>
      <c r="AC62" s="18">
        <f t="shared" si="42"/>
        <v>35</v>
      </c>
      <c r="AD62" s="18">
        <f t="shared" si="43"/>
        <v>80</v>
      </c>
      <c r="AE62" s="18">
        <f t="shared" si="44"/>
        <v>40</v>
      </c>
      <c r="AF62" s="18">
        <v>46</v>
      </c>
      <c r="AG62" s="18">
        <v>47</v>
      </c>
      <c r="AH62" s="18">
        <f t="shared" si="45"/>
        <v>93</v>
      </c>
      <c r="AI62" s="18">
        <v>46</v>
      </c>
      <c r="AJ62" s="18">
        <v>46</v>
      </c>
      <c r="AK62" s="18">
        <f t="shared" si="46"/>
        <v>92</v>
      </c>
      <c r="AL62" s="18">
        <f t="shared" si="47"/>
        <v>92</v>
      </c>
      <c r="AM62" s="18">
        <f t="shared" si="48"/>
        <v>46</v>
      </c>
      <c r="AN62" s="18">
        <f t="shared" si="49"/>
        <v>93</v>
      </c>
      <c r="AO62" s="18">
        <f t="shared" si="50"/>
        <v>46.5</v>
      </c>
      <c r="AP62" s="26">
        <v>64</v>
      </c>
      <c r="AQ62" s="29" t="s">
        <v>442</v>
      </c>
    </row>
    <row r="63" spans="1:43" s="20" customFormat="1">
      <c r="A63" s="23"/>
      <c r="B63" s="10" t="s">
        <v>494</v>
      </c>
      <c r="C63" s="22" t="s">
        <v>495</v>
      </c>
      <c r="D63" s="23">
        <v>397</v>
      </c>
      <c r="E63" s="70" t="s">
        <v>603</v>
      </c>
      <c r="F63" s="24" t="s">
        <v>341</v>
      </c>
      <c r="G63" s="25" t="s">
        <v>393</v>
      </c>
      <c r="H63" s="60">
        <v>35</v>
      </c>
      <c r="I63" s="60">
        <v>42</v>
      </c>
      <c r="J63" s="60">
        <v>77</v>
      </c>
      <c r="K63" s="86">
        <v>38.5</v>
      </c>
      <c r="L63" s="87">
        <v>46</v>
      </c>
      <c r="M63" s="87">
        <v>45</v>
      </c>
      <c r="N63" s="87">
        <v>91</v>
      </c>
      <c r="O63" s="86">
        <v>45.5</v>
      </c>
      <c r="P63" s="87">
        <v>46</v>
      </c>
      <c r="Q63" s="87">
        <v>45</v>
      </c>
      <c r="R63" s="87">
        <v>91</v>
      </c>
      <c r="S63" s="86">
        <v>45.5</v>
      </c>
      <c r="T63" s="88"/>
      <c r="U63" s="86">
        <f t="shared" si="40"/>
        <v>129.5</v>
      </c>
      <c r="V63" s="18">
        <v>15</v>
      </c>
      <c r="W63" s="18">
        <v>3</v>
      </c>
      <c r="X63" s="18">
        <v>17</v>
      </c>
      <c r="Y63" s="18">
        <f t="shared" si="41"/>
        <v>35</v>
      </c>
      <c r="Z63" s="18">
        <v>20</v>
      </c>
      <c r="AA63" s="18">
        <v>12</v>
      </c>
      <c r="AB63" s="18">
        <v>10</v>
      </c>
      <c r="AC63" s="18">
        <f t="shared" si="42"/>
        <v>42</v>
      </c>
      <c r="AD63" s="18">
        <f t="shared" si="43"/>
        <v>77</v>
      </c>
      <c r="AE63" s="18">
        <f t="shared" si="44"/>
        <v>38.5</v>
      </c>
      <c r="AF63" s="18">
        <v>46</v>
      </c>
      <c r="AG63" s="18">
        <v>46</v>
      </c>
      <c r="AH63" s="18">
        <f t="shared" si="45"/>
        <v>92</v>
      </c>
      <c r="AI63" s="18">
        <v>45</v>
      </c>
      <c r="AJ63" s="18">
        <v>45</v>
      </c>
      <c r="AK63" s="18">
        <f t="shared" si="46"/>
        <v>90</v>
      </c>
      <c r="AL63" s="18">
        <f t="shared" si="47"/>
        <v>91</v>
      </c>
      <c r="AM63" s="18">
        <f t="shared" si="48"/>
        <v>45.5</v>
      </c>
      <c r="AN63" s="18">
        <f t="shared" si="49"/>
        <v>91</v>
      </c>
      <c r="AO63" s="18">
        <f t="shared" si="50"/>
        <v>45.5</v>
      </c>
      <c r="AP63" s="26">
        <v>61</v>
      </c>
      <c r="AQ63" s="27" t="s">
        <v>496</v>
      </c>
    </row>
    <row r="64" spans="1:43" s="20" customFormat="1" ht="15.75" customHeight="1">
      <c r="A64" s="23"/>
      <c r="B64" s="10" t="s">
        <v>1243</v>
      </c>
      <c r="C64" s="22" t="s">
        <v>500</v>
      </c>
      <c r="D64" s="23">
        <v>46</v>
      </c>
      <c r="E64" s="70" t="s">
        <v>605</v>
      </c>
      <c r="F64" s="12" t="s">
        <v>341</v>
      </c>
      <c r="G64" s="18" t="s">
        <v>357</v>
      </c>
      <c r="H64" s="36">
        <v>40</v>
      </c>
      <c r="I64" s="36">
        <v>35</v>
      </c>
      <c r="J64" s="36">
        <v>75</v>
      </c>
      <c r="K64" s="89">
        <v>37.5</v>
      </c>
      <c r="L64" s="90">
        <v>47</v>
      </c>
      <c r="M64" s="90">
        <v>45</v>
      </c>
      <c r="N64" s="90">
        <v>92</v>
      </c>
      <c r="O64" s="91">
        <v>46</v>
      </c>
      <c r="P64" s="90">
        <v>46</v>
      </c>
      <c r="Q64" s="90">
        <v>45</v>
      </c>
      <c r="R64" s="90">
        <v>91</v>
      </c>
      <c r="S64" s="91">
        <v>45.5</v>
      </c>
      <c r="T64" s="88"/>
      <c r="U64" s="86">
        <f t="shared" si="40"/>
        <v>129</v>
      </c>
      <c r="V64" s="18">
        <v>5</v>
      </c>
      <c r="W64" s="18">
        <v>15</v>
      </c>
      <c r="X64" s="18">
        <v>20</v>
      </c>
      <c r="Y64" s="18">
        <f t="shared" si="41"/>
        <v>40</v>
      </c>
      <c r="Z64" s="18">
        <v>5</v>
      </c>
      <c r="AA64" s="18">
        <v>7</v>
      </c>
      <c r="AB64" s="18">
        <v>23</v>
      </c>
      <c r="AC64" s="18">
        <f t="shared" si="42"/>
        <v>35</v>
      </c>
      <c r="AD64" s="18">
        <f t="shared" si="43"/>
        <v>75</v>
      </c>
      <c r="AE64" s="18">
        <f t="shared" si="44"/>
        <v>37.5</v>
      </c>
      <c r="AF64" s="18">
        <v>47</v>
      </c>
      <c r="AG64" s="18">
        <v>46</v>
      </c>
      <c r="AH64" s="18">
        <f t="shared" si="45"/>
        <v>93</v>
      </c>
      <c r="AI64" s="18">
        <v>45</v>
      </c>
      <c r="AJ64" s="18">
        <v>45</v>
      </c>
      <c r="AK64" s="18">
        <f t="shared" si="46"/>
        <v>90</v>
      </c>
      <c r="AL64" s="18">
        <f t="shared" si="47"/>
        <v>92</v>
      </c>
      <c r="AM64" s="18">
        <f t="shared" si="48"/>
        <v>46</v>
      </c>
      <c r="AN64" s="18">
        <f t="shared" si="49"/>
        <v>91</v>
      </c>
      <c r="AO64" s="18">
        <f t="shared" si="50"/>
        <v>45.5</v>
      </c>
      <c r="AP64" s="26">
        <v>104</v>
      </c>
      <c r="AQ64" s="29" t="s">
        <v>358</v>
      </c>
    </row>
    <row r="65" spans="1:43" s="20" customFormat="1">
      <c r="A65" s="23"/>
      <c r="B65" s="10" t="s">
        <v>501</v>
      </c>
      <c r="C65" s="22" t="s">
        <v>502</v>
      </c>
      <c r="D65" s="23">
        <v>21</v>
      </c>
      <c r="E65" s="70" t="s">
        <v>607</v>
      </c>
      <c r="F65" s="12" t="s">
        <v>341</v>
      </c>
      <c r="G65" s="18" t="s">
        <v>29</v>
      </c>
      <c r="H65" s="36">
        <v>35</v>
      </c>
      <c r="I65" s="36">
        <v>38</v>
      </c>
      <c r="J65" s="36">
        <v>73</v>
      </c>
      <c r="K65" s="89">
        <v>36.5</v>
      </c>
      <c r="L65" s="90">
        <v>48</v>
      </c>
      <c r="M65" s="90">
        <v>44</v>
      </c>
      <c r="N65" s="90">
        <v>92</v>
      </c>
      <c r="O65" s="91">
        <v>46</v>
      </c>
      <c r="P65" s="90">
        <v>48</v>
      </c>
      <c r="Q65" s="90">
        <v>44</v>
      </c>
      <c r="R65" s="90">
        <v>92</v>
      </c>
      <c r="S65" s="91">
        <v>46</v>
      </c>
      <c r="T65" s="88"/>
      <c r="U65" s="86">
        <f t="shared" si="40"/>
        <v>128.5</v>
      </c>
      <c r="V65" s="18">
        <v>10</v>
      </c>
      <c r="W65" s="18">
        <v>15</v>
      </c>
      <c r="X65" s="18">
        <v>10</v>
      </c>
      <c r="Y65" s="18">
        <f t="shared" si="41"/>
        <v>35</v>
      </c>
      <c r="Z65" s="18">
        <v>15</v>
      </c>
      <c r="AA65" s="18">
        <v>12</v>
      </c>
      <c r="AB65" s="18">
        <v>11</v>
      </c>
      <c r="AC65" s="18">
        <f t="shared" si="42"/>
        <v>38</v>
      </c>
      <c r="AD65" s="18">
        <f t="shared" si="43"/>
        <v>73</v>
      </c>
      <c r="AE65" s="18">
        <f t="shared" si="44"/>
        <v>36.5</v>
      </c>
      <c r="AF65" s="18">
        <v>48</v>
      </c>
      <c r="AG65" s="18">
        <v>48</v>
      </c>
      <c r="AH65" s="18">
        <f t="shared" si="45"/>
        <v>96</v>
      </c>
      <c r="AI65" s="18">
        <v>44</v>
      </c>
      <c r="AJ65" s="18">
        <v>44</v>
      </c>
      <c r="AK65" s="18">
        <f t="shared" si="46"/>
        <v>88</v>
      </c>
      <c r="AL65" s="18">
        <f t="shared" si="47"/>
        <v>92</v>
      </c>
      <c r="AM65" s="18">
        <f t="shared" si="48"/>
        <v>46</v>
      </c>
      <c r="AN65" s="18">
        <f t="shared" si="49"/>
        <v>92</v>
      </c>
      <c r="AO65" s="18">
        <f t="shared" si="50"/>
        <v>46</v>
      </c>
      <c r="AP65" s="26">
        <v>7</v>
      </c>
      <c r="AQ65" s="29" t="s">
        <v>445</v>
      </c>
    </row>
    <row r="66" spans="1:43" s="20" customFormat="1">
      <c r="A66" s="23"/>
      <c r="B66" s="10" t="s">
        <v>1244</v>
      </c>
      <c r="C66" s="22" t="s">
        <v>503</v>
      </c>
      <c r="D66" s="23">
        <v>368</v>
      </c>
      <c r="E66" s="70" t="s">
        <v>609</v>
      </c>
      <c r="F66" s="28" t="s">
        <v>28</v>
      </c>
      <c r="G66" s="18" t="s">
        <v>332</v>
      </c>
      <c r="H66" s="36">
        <v>35</v>
      </c>
      <c r="I66" s="36">
        <v>38</v>
      </c>
      <c r="J66" s="36">
        <v>73</v>
      </c>
      <c r="K66" s="89">
        <v>36.5</v>
      </c>
      <c r="L66" s="90">
        <v>45</v>
      </c>
      <c r="M66" s="90">
        <v>50</v>
      </c>
      <c r="N66" s="90">
        <v>95</v>
      </c>
      <c r="O66" s="91">
        <v>47.5</v>
      </c>
      <c r="P66" s="90">
        <v>45</v>
      </c>
      <c r="Q66" s="90">
        <v>40</v>
      </c>
      <c r="R66" s="90">
        <v>85</v>
      </c>
      <c r="S66" s="91">
        <v>42.5</v>
      </c>
      <c r="T66" s="88"/>
      <c r="U66" s="86">
        <f t="shared" si="40"/>
        <v>126.5</v>
      </c>
      <c r="V66" s="18">
        <v>15</v>
      </c>
      <c r="W66" s="18">
        <v>10</v>
      </c>
      <c r="X66" s="18">
        <v>10</v>
      </c>
      <c r="Y66" s="18">
        <f t="shared" si="41"/>
        <v>35</v>
      </c>
      <c r="Z66" s="18">
        <v>15</v>
      </c>
      <c r="AA66" s="18">
        <v>15</v>
      </c>
      <c r="AB66" s="18">
        <v>8</v>
      </c>
      <c r="AC66" s="18">
        <f t="shared" si="42"/>
        <v>38</v>
      </c>
      <c r="AD66" s="18">
        <f t="shared" si="43"/>
        <v>73</v>
      </c>
      <c r="AE66" s="18">
        <f t="shared" si="44"/>
        <v>36.5</v>
      </c>
      <c r="AF66" s="18">
        <v>45</v>
      </c>
      <c r="AG66" s="18">
        <v>45</v>
      </c>
      <c r="AH66" s="18">
        <f t="shared" si="45"/>
        <v>90</v>
      </c>
      <c r="AI66" s="18">
        <v>50</v>
      </c>
      <c r="AJ66" s="18">
        <v>40</v>
      </c>
      <c r="AK66" s="18">
        <f t="shared" si="46"/>
        <v>90</v>
      </c>
      <c r="AL66" s="18">
        <f t="shared" si="47"/>
        <v>95</v>
      </c>
      <c r="AM66" s="18">
        <f t="shared" si="48"/>
        <v>47.5</v>
      </c>
      <c r="AN66" s="18">
        <f t="shared" si="49"/>
        <v>85</v>
      </c>
      <c r="AO66" s="18">
        <f t="shared" si="50"/>
        <v>42.5</v>
      </c>
      <c r="AP66" s="26">
        <v>99</v>
      </c>
      <c r="AQ66" s="29" t="s">
        <v>504</v>
      </c>
    </row>
    <row r="67" spans="1:43" s="20" customFormat="1" ht="15.75" customHeight="1">
      <c r="A67" s="23"/>
      <c r="B67" s="10" t="s">
        <v>505</v>
      </c>
      <c r="C67" s="22" t="s">
        <v>506</v>
      </c>
      <c r="D67" s="23">
        <v>173</v>
      </c>
      <c r="E67" s="70" t="s">
        <v>606</v>
      </c>
      <c r="F67" s="28" t="s">
        <v>30</v>
      </c>
      <c r="G67" s="18" t="s">
        <v>422</v>
      </c>
      <c r="H67" s="36">
        <v>47</v>
      </c>
      <c r="I67" s="36">
        <v>45</v>
      </c>
      <c r="J67" s="36">
        <v>92</v>
      </c>
      <c r="K67" s="89">
        <v>46</v>
      </c>
      <c r="L67" s="90">
        <v>50</v>
      </c>
      <c r="M67" s="90">
        <v>35</v>
      </c>
      <c r="N67" s="90">
        <v>85</v>
      </c>
      <c r="O67" s="91">
        <v>42.5</v>
      </c>
      <c r="P67" s="90">
        <v>40</v>
      </c>
      <c r="Q67" s="90">
        <v>35</v>
      </c>
      <c r="R67" s="90">
        <v>75</v>
      </c>
      <c r="S67" s="91">
        <v>37.5</v>
      </c>
      <c r="T67" s="88"/>
      <c r="U67" s="86">
        <f t="shared" si="40"/>
        <v>126</v>
      </c>
      <c r="V67" s="18">
        <v>25</v>
      </c>
      <c r="W67" s="18">
        <v>10</v>
      </c>
      <c r="X67" s="18">
        <v>12</v>
      </c>
      <c r="Y67" s="18">
        <f t="shared" si="41"/>
        <v>47</v>
      </c>
      <c r="Z67" s="18">
        <v>25</v>
      </c>
      <c r="AA67" s="18">
        <v>10</v>
      </c>
      <c r="AB67" s="18">
        <v>10</v>
      </c>
      <c r="AC67" s="18">
        <f t="shared" si="42"/>
        <v>45</v>
      </c>
      <c r="AD67" s="18">
        <f t="shared" si="43"/>
        <v>92</v>
      </c>
      <c r="AE67" s="18">
        <f t="shared" si="44"/>
        <v>46</v>
      </c>
      <c r="AF67" s="18">
        <v>50</v>
      </c>
      <c r="AG67" s="18">
        <v>40</v>
      </c>
      <c r="AH67" s="18">
        <f t="shared" si="45"/>
        <v>90</v>
      </c>
      <c r="AI67" s="18">
        <v>35</v>
      </c>
      <c r="AJ67" s="18">
        <v>35</v>
      </c>
      <c r="AK67" s="18">
        <f t="shared" si="46"/>
        <v>70</v>
      </c>
      <c r="AL67" s="18">
        <f t="shared" si="47"/>
        <v>85</v>
      </c>
      <c r="AM67" s="18">
        <f t="shared" si="48"/>
        <v>42.5</v>
      </c>
      <c r="AN67" s="18">
        <f t="shared" si="49"/>
        <v>75</v>
      </c>
      <c r="AO67" s="18">
        <f t="shared" si="50"/>
        <v>37.5</v>
      </c>
      <c r="AP67" s="26">
        <v>97</v>
      </c>
      <c r="AQ67" s="29" t="s">
        <v>423</v>
      </c>
    </row>
    <row r="68" spans="1:43" s="20" customFormat="1" ht="15.75" customHeight="1">
      <c r="A68" s="23"/>
      <c r="B68" s="10" t="s">
        <v>509</v>
      </c>
      <c r="C68" s="22" t="s">
        <v>510</v>
      </c>
      <c r="D68" s="23">
        <v>42</v>
      </c>
      <c r="E68" s="70" t="s">
        <v>603</v>
      </c>
      <c r="F68" s="24" t="s">
        <v>341</v>
      </c>
      <c r="G68" s="25" t="s">
        <v>393</v>
      </c>
      <c r="H68" s="60">
        <v>25</v>
      </c>
      <c r="I68" s="60">
        <v>42</v>
      </c>
      <c r="J68" s="60">
        <v>67</v>
      </c>
      <c r="K68" s="86">
        <v>33.5</v>
      </c>
      <c r="L68" s="87">
        <v>45</v>
      </c>
      <c r="M68" s="87">
        <v>45</v>
      </c>
      <c r="N68" s="87">
        <v>90</v>
      </c>
      <c r="O68" s="86">
        <v>45</v>
      </c>
      <c r="P68" s="87">
        <v>45</v>
      </c>
      <c r="Q68" s="87">
        <v>48</v>
      </c>
      <c r="R68" s="87">
        <v>93</v>
      </c>
      <c r="S68" s="86">
        <v>46.5</v>
      </c>
      <c r="T68" s="88"/>
      <c r="U68" s="86">
        <f t="shared" si="40"/>
        <v>125</v>
      </c>
      <c r="V68" s="18">
        <v>5</v>
      </c>
      <c r="W68" s="18">
        <v>10</v>
      </c>
      <c r="X68" s="18">
        <v>10</v>
      </c>
      <c r="Y68" s="18">
        <f t="shared" si="41"/>
        <v>25</v>
      </c>
      <c r="Z68" s="18">
        <v>15</v>
      </c>
      <c r="AA68" s="18">
        <v>15</v>
      </c>
      <c r="AB68" s="18">
        <v>12</v>
      </c>
      <c r="AC68" s="18">
        <f t="shared" si="42"/>
        <v>42</v>
      </c>
      <c r="AD68" s="18">
        <f t="shared" si="43"/>
        <v>67</v>
      </c>
      <c r="AE68" s="18">
        <f t="shared" si="44"/>
        <v>33.5</v>
      </c>
      <c r="AF68" s="18">
        <v>45</v>
      </c>
      <c r="AG68" s="18">
        <v>45</v>
      </c>
      <c r="AH68" s="18">
        <f t="shared" si="45"/>
        <v>90</v>
      </c>
      <c r="AI68" s="18">
        <v>45</v>
      </c>
      <c r="AJ68" s="18">
        <v>48</v>
      </c>
      <c r="AK68" s="18">
        <f t="shared" si="46"/>
        <v>93</v>
      </c>
      <c r="AL68" s="18">
        <f t="shared" si="47"/>
        <v>90</v>
      </c>
      <c r="AM68" s="18">
        <f t="shared" si="48"/>
        <v>45</v>
      </c>
      <c r="AN68" s="18">
        <f t="shared" si="49"/>
        <v>93</v>
      </c>
      <c r="AO68" s="18">
        <f t="shared" si="50"/>
        <v>46.5</v>
      </c>
      <c r="AP68" s="26">
        <v>1</v>
      </c>
      <c r="AQ68" s="42" t="s">
        <v>394</v>
      </c>
    </row>
    <row r="69" spans="1:43" s="20" customFormat="1" ht="15.75" customHeight="1">
      <c r="A69" s="23"/>
      <c r="B69" s="10" t="s">
        <v>511</v>
      </c>
      <c r="C69" s="22" t="s">
        <v>512</v>
      </c>
      <c r="D69" s="23">
        <v>128</v>
      </c>
      <c r="E69" s="70" t="s">
        <v>604</v>
      </c>
      <c r="F69" s="28" t="s">
        <v>29</v>
      </c>
      <c r="G69" s="18" t="s">
        <v>422</v>
      </c>
      <c r="H69" s="36">
        <v>40</v>
      </c>
      <c r="I69" s="36">
        <v>35</v>
      </c>
      <c r="J69" s="36">
        <v>75</v>
      </c>
      <c r="K69" s="89">
        <v>37.5</v>
      </c>
      <c r="L69" s="90">
        <v>45</v>
      </c>
      <c r="M69" s="90">
        <v>50</v>
      </c>
      <c r="N69" s="90">
        <v>95</v>
      </c>
      <c r="O69" s="91">
        <v>47.5</v>
      </c>
      <c r="P69" s="90">
        <v>45</v>
      </c>
      <c r="Q69" s="90">
        <v>35</v>
      </c>
      <c r="R69" s="90">
        <v>80</v>
      </c>
      <c r="S69" s="91">
        <v>40</v>
      </c>
      <c r="T69" s="88"/>
      <c r="U69" s="86">
        <f t="shared" si="40"/>
        <v>125</v>
      </c>
      <c r="V69" s="18">
        <v>11</v>
      </c>
      <c r="W69" s="18">
        <v>12</v>
      </c>
      <c r="X69" s="18">
        <v>17</v>
      </c>
      <c r="Y69" s="18">
        <f t="shared" si="41"/>
        <v>40</v>
      </c>
      <c r="Z69" s="18">
        <v>10</v>
      </c>
      <c r="AA69" s="18">
        <v>15</v>
      </c>
      <c r="AB69" s="18">
        <v>10</v>
      </c>
      <c r="AC69" s="18">
        <f t="shared" si="42"/>
        <v>35</v>
      </c>
      <c r="AD69" s="18">
        <f t="shared" si="43"/>
        <v>75</v>
      </c>
      <c r="AE69" s="18">
        <f t="shared" si="44"/>
        <v>37.5</v>
      </c>
      <c r="AF69" s="18">
        <v>45</v>
      </c>
      <c r="AG69" s="18">
        <v>45</v>
      </c>
      <c r="AH69" s="18">
        <f t="shared" si="45"/>
        <v>90</v>
      </c>
      <c r="AI69" s="18">
        <v>50</v>
      </c>
      <c r="AJ69" s="18">
        <v>35</v>
      </c>
      <c r="AK69" s="18">
        <f t="shared" si="46"/>
        <v>85</v>
      </c>
      <c r="AL69" s="18">
        <f t="shared" si="47"/>
        <v>95</v>
      </c>
      <c r="AM69" s="18">
        <f t="shared" si="48"/>
        <v>47.5</v>
      </c>
      <c r="AN69" s="18">
        <f t="shared" si="49"/>
        <v>80</v>
      </c>
      <c r="AO69" s="18">
        <f t="shared" si="50"/>
        <v>40</v>
      </c>
      <c r="AP69" s="26">
        <v>53</v>
      </c>
      <c r="AQ69" s="9" t="s">
        <v>513</v>
      </c>
    </row>
    <row r="70" spans="1:43" s="20" customFormat="1" ht="15.75" customHeight="1">
      <c r="A70" s="23"/>
      <c r="B70" s="10" t="s">
        <v>514</v>
      </c>
      <c r="C70" s="22" t="s">
        <v>515</v>
      </c>
      <c r="D70" s="23">
        <v>126</v>
      </c>
      <c r="E70" s="70" t="s">
        <v>607</v>
      </c>
      <c r="F70" s="12" t="s">
        <v>28</v>
      </c>
      <c r="G70" s="18" t="s">
        <v>30</v>
      </c>
      <c r="H70" s="36">
        <v>30</v>
      </c>
      <c r="I70" s="36">
        <v>30</v>
      </c>
      <c r="J70" s="36">
        <v>60</v>
      </c>
      <c r="K70" s="89">
        <v>30</v>
      </c>
      <c r="L70" s="90">
        <v>45</v>
      </c>
      <c r="M70" s="90">
        <v>50</v>
      </c>
      <c r="N70" s="90">
        <v>95</v>
      </c>
      <c r="O70" s="91">
        <v>47.5</v>
      </c>
      <c r="P70" s="90">
        <v>45</v>
      </c>
      <c r="Q70" s="90">
        <v>49</v>
      </c>
      <c r="R70" s="90">
        <v>94</v>
      </c>
      <c r="S70" s="91">
        <v>47</v>
      </c>
      <c r="T70" s="88"/>
      <c r="U70" s="86">
        <f t="shared" si="40"/>
        <v>124.5</v>
      </c>
      <c r="V70" s="18">
        <v>10</v>
      </c>
      <c r="W70" s="18">
        <v>10</v>
      </c>
      <c r="X70" s="18">
        <v>10</v>
      </c>
      <c r="Y70" s="18">
        <f t="shared" si="41"/>
        <v>30</v>
      </c>
      <c r="Z70" s="18">
        <v>18</v>
      </c>
      <c r="AA70" s="18">
        <v>7</v>
      </c>
      <c r="AB70" s="18">
        <v>5</v>
      </c>
      <c r="AC70" s="18">
        <f t="shared" si="42"/>
        <v>30</v>
      </c>
      <c r="AD70" s="18">
        <f t="shared" si="43"/>
        <v>60</v>
      </c>
      <c r="AE70" s="18">
        <f t="shared" si="44"/>
        <v>30</v>
      </c>
      <c r="AF70" s="18">
        <v>45</v>
      </c>
      <c r="AG70" s="18">
        <v>45</v>
      </c>
      <c r="AH70" s="18">
        <f t="shared" si="45"/>
        <v>90</v>
      </c>
      <c r="AI70" s="18">
        <v>50</v>
      </c>
      <c r="AJ70" s="18">
        <v>49</v>
      </c>
      <c r="AK70" s="18">
        <f t="shared" si="46"/>
        <v>99</v>
      </c>
      <c r="AL70" s="18">
        <f t="shared" si="47"/>
        <v>95</v>
      </c>
      <c r="AM70" s="18">
        <f t="shared" si="48"/>
        <v>47.5</v>
      </c>
      <c r="AN70" s="18">
        <f t="shared" si="49"/>
        <v>94</v>
      </c>
      <c r="AO70" s="18">
        <f t="shared" si="50"/>
        <v>47</v>
      </c>
      <c r="AP70" s="26">
        <v>6</v>
      </c>
      <c r="AQ70" s="29" t="s">
        <v>516</v>
      </c>
    </row>
    <row r="71" spans="1:43" s="20" customFormat="1">
      <c r="A71" s="23"/>
      <c r="B71" s="10" t="s">
        <v>519</v>
      </c>
      <c r="C71" s="22" t="s">
        <v>520</v>
      </c>
      <c r="D71" s="23">
        <v>78</v>
      </c>
      <c r="E71" s="70" t="s">
        <v>606</v>
      </c>
      <c r="F71" s="28" t="s">
        <v>30</v>
      </c>
      <c r="G71" s="18" t="s">
        <v>422</v>
      </c>
      <c r="H71" s="36">
        <v>45</v>
      </c>
      <c r="I71" s="36">
        <v>40</v>
      </c>
      <c r="J71" s="36">
        <v>85</v>
      </c>
      <c r="K71" s="89">
        <v>42.5</v>
      </c>
      <c r="L71" s="90">
        <v>40</v>
      </c>
      <c r="M71" s="90">
        <v>40</v>
      </c>
      <c r="N71" s="90">
        <v>80</v>
      </c>
      <c r="O71" s="91">
        <v>40</v>
      </c>
      <c r="P71" s="90">
        <v>40</v>
      </c>
      <c r="Q71" s="90">
        <v>40</v>
      </c>
      <c r="R71" s="90">
        <v>80</v>
      </c>
      <c r="S71" s="91">
        <v>40</v>
      </c>
      <c r="T71" s="88"/>
      <c r="U71" s="86">
        <f t="shared" ref="U71:U99" si="51">SUM(K71,O71,S71)</f>
        <v>122.5</v>
      </c>
      <c r="V71" s="18">
        <v>10</v>
      </c>
      <c r="W71" s="18">
        <v>25</v>
      </c>
      <c r="X71" s="18">
        <v>10</v>
      </c>
      <c r="Y71" s="18">
        <f t="shared" ref="Y71:Y99" si="52">SUM(V71:X71)</f>
        <v>45</v>
      </c>
      <c r="Z71" s="18">
        <v>10</v>
      </c>
      <c r="AA71" s="18">
        <v>25</v>
      </c>
      <c r="AB71" s="18">
        <v>5</v>
      </c>
      <c r="AC71" s="18">
        <f t="shared" ref="AC71:AC99" si="53">SUM(Z71:AB71)</f>
        <v>40</v>
      </c>
      <c r="AD71" s="18">
        <f t="shared" ref="AD71:AD99" si="54">SUM(Y71,AC71)</f>
        <v>85</v>
      </c>
      <c r="AE71" s="18">
        <f t="shared" ref="AE71:AE99" si="55">AD71/2</f>
        <v>42.5</v>
      </c>
      <c r="AF71" s="18">
        <v>40</v>
      </c>
      <c r="AG71" s="18">
        <v>40</v>
      </c>
      <c r="AH71" s="18">
        <f t="shared" ref="AH71:AH99" si="56">SUM(AF71:AG71)</f>
        <v>80</v>
      </c>
      <c r="AI71" s="18">
        <v>40</v>
      </c>
      <c r="AJ71" s="18">
        <v>40</v>
      </c>
      <c r="AK71" s="18">
        <f t="shared" ref="AK71:AK99" si="57">SUM(AI71:AJ71)</f>
        <v>80</v>
      </c>
      <c r="AL71" s="18">
        <f t="shared" ref="AL71:AL99" si="58">SUM(AF71,AI71)</f>
        <v>80</v>
      </c>
      <c r="AM71" s="18">
        <f t="shared" ref="AM71:AM99" si="59">AL71/2</f>
        <v>40</v>
      </c>
      <c r="AN71" s="18">
        <f t="shared" ref="AN71:AN99" si="60">SUM(AG71,AJ71)</f>
        <v>80</v>
      </c>
      <c r="AO71" s="18">
        <f t="shared" ref="AO71:AO99" si="61">AN71/2</f>
        <v>40</v>
      </c>
      <c r="AP71" s="26">
        <v>88</v>
      </c>
      <c r="AQ71" s="29" t="s">
        <v>423</v>
      </c>
    </row>
    <row r="72" spans="1:43" s="20" customFormat="1" ht="15.75" customHeight="1">
      <c r="A72" s="23"/>
      <c r="B72" s="10" t="s">
        <v>521</v>
      </c>
      <c r="C72" s="22" t="s">
        <v>522</v>
      </c>
      <c r="D72" s="23">
        <v>66</v>
      </c>
      <c r="E72" s="70" t="s">
        <v>605</v>
      </c>
      <c r="F72" s="12" t="s">
        <v>341</v>
      </c>
      <c r="G72" s="18" t="s">
        <v>523</v>
      </c>
      <c r="H72" s="36">
        <v>35</v>
      </c>
      <c r="I72" s="36">
        <v>23</v>
      </c>
      <c r="J72" s="36">
        <v>58</v>
      </c>
      <c r="K72" s="89">
        <v>29</v>
      </c>
      <c r="L72" s="90">
        <v>48</v>
      </c>
      <c r="M72" s="90">
        <v>45</v>
      </c>
      <c r="N72" s="90">
        <v>93</v>
      </c>
      <c r="O72" s="91">
        <v>46.5</v>
      </c>
      <c r="P72" s="90">
        <v>48</v>
      </c>
      <c r="Q72" s="90">
        <v>45</v>
      </c>
      <c r="R72" s="90">
        <v>93</v>
      </c>
      <c r="S72" s="91">
        <v>46.5</v>
      </c>
      <c r="T72" s="88"/>
      <c r="U72" s="86">
        <f t="shared" si="51"/>
        <v>122</v>
      </c>
      <c r="V72" s="18">
        <v>5</v>
      </c>
      <c r="W72" s="18">
        <v>20</v>
      </c>
      <c r="X72" s="18">
        <v>10</v>
      </c>
      <c r="Y72" s="18">
        <f t="shared" si="52"/>
        <v>35</v>
      </c>
      <c r="Z72" s="18">
        <v>3</v>
      </c>
      <c r="AA72" s="18">
        <v>10</v>
      </c>
      <c r="AB72" s="18">
        <v>10</v>
      </c>
      <c r="AC72" s="18">
        <f t="shared" si="53"/>
        <v>23</v>
      </c>
      <c r="AD72" s="18">
        <f t="shared" si="54"/>
        <v>58</v>
      </c>
      <c r="AE72" s="18">
        <f t="shared" si="55"/>
        <v>29</v>
      </c>
      <c r="AF72" s="18">
        <v>48</v>
      </c>
      <c r="AG72" s="18">
        <v>48</v>
      </c>
      <c r="AH72" s="18">
        <f t="shared" si="56"/>
        <v>96</v>
      </c>
      <c r="AI72" s="18">
        <v>45</v>
      </c>
      <c r="AJ72" s="18">
        <v>45</v>
      </c>
      <c r="AK72" s="18">
        <f t="shared" si="57"/>
        <v>90</v>
      </c>
      <c r="AL72" s="18">
        <f t="shared" si="58"/>
        <v>93</v>
      </c>
      <c r="AM72" s="18">
        <f t="shared" si="59"/>
        <v>46.5</v>
      </c>
      <c r="AN72" s="18">
        <f t="shared" si="60"/>
        <v>93</v>
      </c>
      <c r="AO72" s="18">
        <f t="shared" si="61"/>
        <v>46.5</v>
      </c>
      <c r="AP72" s="26">
        <v>68</v>
      </c>
      <c r="AQ72" s="34" t="s">
        <v>524</v>
      </c>
    </row>
    <row r="73" spans="1:43" s="20" customFormat="1">
      <c r="A73" s="23"/>
      <c r="B73" s="10" t="s">
        <v>525</v>
      </c>
      <c r="C73" s="22" t="s">
        <v>526</v>
      </c>
      <c r="D73" s="23">
        <v>157</v>
      </c>
      <c r="E73" s="70" t="s">
        <v>608</v>
      </c>
      <c r="F73" s="28" t="s">
        <v>30</v>
      </c>
      <c r="G73" s="18" t="s">
        <v>422</v>
      </c>
      <c r="H73" s="36">
        <v>39</v>
      </c>
      <c r="I73" s="36">
        <v>30</v>
      </c>
      <c r="J73" s="36">
        <v>69</v>
      </c>
      <c r="K73" s="89">
        <v>34.5</v>
      </c>
      <c r="L73" s="90">
        <v>40</v>
      </c>
      <c r="M73" s="90">
        <v>50</v>
      </c>
      <c r="N73" s="90">
        <v>90</v>
      </c>
      <c r="O73" s="91">
        <v>45</v>
      </c>
      <c r="P73" s="90">
        <v>50</v>
      </c>
      <c r="Q73" s="90">
        <v>35</v>
      </c>
      <c r="R73" s="90">
        <v>85</v>
      </c>
      <c r="S73" s="91">
        <v>42.5</v>
      </c>
      <c r="T73" s="88"/>
      <c r="U73" s="86">
        <f t="shared" si="51"/>
        <v>122</v>
      </c>
      <c r="V73" s="18">
        <v>15</v>
      </c>
      <c r="W73" s="18">
        <v>12</v>
      </c>
      <c r="X73" s="18">
        <v>12</v>
      </c>
      <c r="Y73" s="18">
        <f t="shared" si="52"/>
        <v>39</v>
      </c>
      <c r="Z73" s="18">
        <v>10</v>
      </c>
      <c r="AA73" s="18">
        <v>10</v>
      </c>
      <c r="AB73" s="18">
        <v>10</v>
      </c>
      <c r="AC73" s="18">
        <f t="shared" si="53"/>
        <v>30</v>
      </c>
      <c r="AD73" s="18">
        <f t="shared" si="54"/>
        <v>69</v>
      </c>
      <c r="AE73" s="18">
        <f t="shared" si="55"/>
        <v>34.5</v>
      </c>
      <c r="AF73" s="18">
        <v>40</v>
      </c>
      <c r="AG73" s="18">
        <v>50</v>
      </c>
      <c r="AH73" s="18">
        <f t="shared" si="56"/>
        <v>90</v>
      </c>
      <c r="AI73" s="18">
        <v>50</v>
      </c>
      <c r="AJ73" s="18">
        <v>35</v>
      </c>
      <c r="AK73" s="18">
        <f t="shared" si="57"/>
        <v>85</v>
      </c>
      <c r="AL73" s="18">
        <f t="shared" si="58"/>
        <v>90</v>
      </c>
      <c r="AM73" s="18">
        <f t="shared" si="59"/>
        <v>45</v>
      </c>
      <c r="AN73" s="18">
        <f t="shared" si="60"/>
        <v>85</v>
      </c>
      <c r="AO73" s="18">
        <f t="shared" si="61"/>
        <v>42.5</v>
      </c>
      <c r="AP73" s="26">
        <v>96</v>
      </c>
      <c r="AQ73" s="29" t="s">
        <v>423</v>
      </c>
    </row>
    <row r="74" spans="1:43" s="20" customFormat="1" ht="15.75" customHeight="1">
      <c r="A74" s="23"/>
      <c r="B74" s="10" t="s">
        <v>1245</v>
      </c>
      <c r="C74" s="22" t="s">
        <v>527</v>
      </c>
      <c r="D74" s="23">
        <v>144</v>
      </c>
      <c r="E74" s="70" t="s">
        <v>606</v>
      </c>
      <c r="F74" s="28" t="s">
        <v>29</v>
      </c>
      <c r="G74" s="18" t="s">
        <v>418</v>
      </c>
      <c r="H74" s="36">
        <v>32</v>
      </c>
      <c r="I74" s="36">
        <v>35</v>
      </c>
      <c r="J74" s="36">
        <v>67</v>
      </c>
      <c r="K74" s="89">
        <v>33.5</v>
      </c>
      <c r="L74" s="90">
        <v>50</v>
      </c>
      <c r="M74" s="90">
        <v>50</v>
      </c>
      <c r="N74" s="90">
        <v>100</v>
      </c>
      <c r="O74" s="91">
        <v>50</v>
      </c>
      <c r="P74" s="90">
        <v>40</v>
      </c>
      <c r="Q74" s="90">
        <v>35</v>
      </c>
      <c r="R74" s="90">
        <v>75</v>
      </c>
      <c r="S74" s="91">
        <v>37.5</v>
      </c>
      <c r="T74" s="88"/>
      <c r="U74" s="86">
        <f t="shared" si="51"/>
        <v>121</v>
      </c>
      <c r="V74" s="18">
        <v>12</v>
      </c>
      <c r="W74" s="18">
        <v>10</v>
      </c>
      <c r="X74" s="18">
        <v>10</v>
      </c>
      <c r="Y74" s="18">
        <f t="shared" si="52"/>
        <v>32</v>
      </c>
      <c r="Z74" s="18">
        <v>15</v>
      </c>
      <c r="AA74" s="18">
        <v>10</v>
      </c>
      <c r="AB74" s="18">
        <v>10</v>
      </c>
      <c r="AC74" s="18">
        <f t="shared" si="53"/>
        <v>35</v>
      </c>
      <c r="AD74" s="18">
        <f t="shared" si="54"/>
        <v>67</v>
      </c>
      <c r="AE74" s="18">
        <f t="shared" si="55"/>
        <v>33.5</v>
      </c>
      <c r="AF74" s="18">
        <v>50</v>
      </c>
      <c r="AG74" s="18">
        <v>40</v>
      </c>
      <c r="AH74" s="18">
        <f t="shared" si="56"/>
        <v>90</v>
      </c>
      <c r="AI74" s="18">
        <v>50</v>
      </c>
      <c r="AJ74" s="18">
        <v>35</v>
      </c>
      <c r="AK74" s="18">
        <f t="shared" si="57"/>
        <v>85</v>
      </c>
      <c r="AL74" s="18">
        <f t="shared" si="58"/>
        <v>100</v>
      </c>
      <c r="AM74" s="18">
        <f t="shared" si="59"/>
        <v>50</v>
      </c>
      <c r="AN74" s="18">
        <f t="shared" si="60"/>
        <v>75</v>
      </c>
      <c r="AO74" s="18">
        <f t="shared" si="61"/>
        <v>37.5</v>
      </c>
      <c r="AP74" s="26">
        <v>86</v>
      </c>
      <c r="AQ74" s="29" t="s">
        <v>528</v>
      </c>
    </row>
    <row r="75" spans="1:43" s="20" customFormat="1" ht="15.75" customHeight="1">
      <c r="A75" s="23"/>
      <c r="B75" s="10" t="s">
        <v>531</v>
      </c>
      <c r="C75" s="22" t="s">
        <v>532</v>
      </c>
      <c r="D75" s="23">
        <v>96</v>
      </c>
      <c r="E75" s="70" t="s">
        <v>606</v>
      </c>
      <c r="F75" s="28" t="s">
        <v>30</v>
      </c>
      <c r="G75" s="18" t="s">
        <v>377</v>
      </c>
      <c r="H75" s="36">
        <v>46</v>
      </c>
      <c r="I75" s="36">
        <v>50</v>
      </c>
      <c r="J75" s="36">
        <v>96</v>
      </c>
      <c r="K75" s="89">
        <v>48</v>
      </c>
      <c r="L75" s="90">
        <v>40</v>
      </c>
      <c r="M75" s="90">
        <v>30</v>
      </c>
      <c r="N75" s="90">
        <v>70</v>
      </c>
      <c r="O75" s="91">
        <v>35</v>
      </c>
      <c r="P75" s="90">
        <v>35</v>
      </c>
      <c r="Q75" s="90">
        <v>40</v>
      </c>
      <c r="R75" s="90">
        <v>75</v>
      </c>
      <c r="S75" s="91">
        <v>37.5</v>
      </c>
      <c r="T75" s="88"/>
      <c r="U75" s="86">
        <f t="shared" si="51"/>
        <v>120.5</v>
      </c>
      <c r="V75" s="18">
        <v>14</v>
      </c>
      <c r="W75" s="18">
        <v>12</v>
      </c>
      <c r="X75" s="18">
        <v>20</v>
      </c>
      <c r="Y75" s="18">
        <f t="shared" si="52"/>
        <v>46</v>
      </c>
      <c r="Z75" s="18">
        <v>25</v>
      </c>
      <c r="AA75" s="18">
        <v>5</v>
      </c>
      <c r="AB75" s="18">
        <v>20</v>
      </c>
      <c r="AC75" s="18">
        <f t="shared" si="53"/>
        <v>50</v>
      </c>
      <c r="AD75" s="18">
        <f t="shared" si="54"/>
        <v>96</v>
      </c>
      <c r="AE75" s="18">
        <f t="shared" si="55"/>
        <v>48</v>
      </c>
      <c r="AF75" s="18">
        <v>40</v>
      </c>
      <c r="AG75" s="18">
        <v>35</v>
      </c>
      <c r="AH75" s="18">
        <f t="shared" si="56"/>
        <v>75</v>
      </c>
      <c r="AI75" s="18">
        <v>30</v>
      </c>
      <c r="AJ75" s="18">
        <v>40</v>
      </c>
      <c r="AK75" s="18">
        <f t="shared" si="57"/>
        <v>70</v>
      </c>
      <c r="AL75" s="18">
        <f t="shared" si="58"/>
        <v>70</v>
      </c>
      <c r="AM75" s="18">
        <f t="shared" si="59"/>
        <v>35</v>
      </c>
      <c r="AN75" s="18">
        <f t="shared" si="60"/>
        <v>75</v>
      </c>
      <c r="AO75" s="18">
        <f t="shared" si="61"/>
        <v>37.5</v>
      </c>
      <c r="AP75" s="26">
        <v>56</v>
      </c>
      <c r="AQ75" s="29" t="s">
        <v>533</v>
      </c>
    </row>
    <row r="76" spans="1:43" s="20" customFormat="1" ht="15.75" customHeight="1">
      <c r="A76" s="23"/>
      <c r="B76" s="10" t="s">
        <v>1246</v>
      </c>
      <c r="C76" s="22" t="s">
        <v>534</v>
      </c>
      <c r="D76" s="23">
        <v>430</v>
      </c>
      <c r="E76" s="70" t="s">
        <v>604</v>
      </c>
      <c r="F76" s="28" t="s">
        <v>28</v>
      </c>
      <c r="G76" s="18" t="s">
        <v>422</v>
      </c>
      <c r="H76" s="36">
        <v>30</v>
      </c>
      <c r="I76" s="36">
        <v>15</v>
      </c>
      <c r="J76" s="36">
        <v>45</v>
      </c>
      <c r="K76" s="89">
        <v>22.5</v>
      </c>
      <c r="L76" s="90">
        <v>50</v>
      </c>
      <c r="M76" s="90">
        <v>50</v>
      </c>
      <c r="N76" s="90">
        <v>100</v>
      </c>
      <c r="O76" s="91">
        <v>50</v>
      </c>
      <c r="P76" s="90">
        <v>45</v>
      </c>
      <c r="Q76" s="90">
        <v>49</v>
      </c>
      <c r="R76" s="90">
        <v>94</v>
      </c>
      <c r="S76" s="91">
        <v>47</v>
      </c>
      <c r="T76" s="88"/>
      <c r="U76" s="86">
        <f t="shared" si="51"/>
        <v>119.5</v>
      </c>
      <c r="V76" s="18">
        <v>10</v>
      </c>
      <c r="W76" s="18">
        <v>10</v>
      </c>
      <c r="X76" s="18">
        <v>10</v>
      </c>
      <c r="Y76" s="18">
        <f t="shared" si="52"/>
        <v>30</v>
      </c>
      <c r="Z76" s="18">
        <v>5</v>
      </c>
      <c r="AA76" s="18">
        <v>5</v>
      </c>
      <c r="AB76" s="18">
        <v>5</v>
      </c>
      <c r="AC76" s="18">
        <f t="shared" si="53"/>
        <v>15</v>
      </c>
      <c r="AD76" s="18">
        <f t="shared" si="54"/>
        <v>45</v>
      </c>
      <c r="AE76" s="18">
        <f t="shared" si="55"/>
        <v>22.5</v>
      </c>
      <c r="AF76" s="18">
        <v>50</v>
      </c>
      <c r="AG76" s="18">
        <v>45</v>
      </c>
      <c r="AH76" s="18">
        <f t="shared" si="56"/>
        <v>95</v>
      </c>
      <c r="AI76" s="18">
        <v>50</v>
      </c>
      <c r="AJ76" s="18">
        <v>49</v>
      </c>
      <c r="AK76" s="18">
        <f t="shared" si="57"/>
        <v>99</v>
      </c>
      <c r="AL76" s="18">
        <f t="shared" si="58"/>
        <v>100</v>
      </c>
      <c r="AM76" s="18">
        <f t="shared" si="59"/>
        <v>50</v>
      </c>
      <c r="AN76" s="18">
        <f t="shared" si="60"/>
        <v>94</v>
      </c>
      <c r="AO76" s="18">
        <f t="shared" si="61"/>
        <v>47</v>
      </c>
      <c r="AP76" s="26">
        <v>73</v>
      </c>
      <c r="AQ76" s="9" t="s">
        <v>535</v>
      </c>
    </row>
    <row r="77" spans="1:43" s="20" customFormat="1" ht="15.75" customHeight="1">
      <c r="A77" s="23"/>
      <c r="B77" s="10" t="s">
        <v>536</v>
      </c>
      <c r="C77" s="22" t="s">
        <v>537</v>
      </c>
      <c r="D77" s="23">
        <v>98</v>
      </c>
      <c r="E77" s="70" t="s">
        <v>606</v>
      </c>
      <c r="F77" s="28" t="s">
        <v>30</v>
      </c>
      <c r="G77" s="18" t="s">
        <v>30</v>
      </c>
      <c r="H77" s="36">
        <v>36</v>
      </c>
      <c r="I77" s="36">
        <v>35</v>
      </c>
      <c r="J77" s="36">
        <v>71</v>
      </c>
      <c r="K77" s="89">
        <v>35.5</v>
      </c>
      <c r="L77" s="90">
        <v>40</v>
      </c>
      <c r="M77" s="90">
        <v>45</v>
      </c>
      <c r="N77" s="90">
        <v>85</v>
      </c>
      <c r="O77" s="91">
        <v>42.5</v>
      </c>
      <c r="P77" s="90">
        <v>40</v>
      </c>
      <c r="Q77" s="90">
        <v>42</v>
      </c>
      <c r="R77" s="90">
        <v>82</v>
      </c>
      <c r="S77" s="91">
        <v>41</v>
      </c>
      <c r="T77" s="88"/>
      <c r="U77" s="86">
        <f t="shared" si="51"/>
        <v>119</v>
      </c>
      <c r="V77" s="18">
        <v>16</v>
      </c>
      <c r="W77" s="18">
        <v>10</v>
      </c>
      <c r="X77" s="18">
        <v>10</v>
      </c>
      <c r="Y77" s="18">
        <f t="shared" si="52"/>
        <v>36</v>
      </c>
      <c r="Z77" s="18">
        <v>10</v>
      </c>
      <c r="AA77" s="18">
        <v>10</v>
      </c>
      <c r="AB77" s="18">
        <v>15</v>
      </c>
      <c r="AC77" s="18">
        <f t="shared" si="53"/>
        <v>35</v>
      </c>
      <c r="AD77" s="18">
        <f t="shared" si="54"/>
        <v>71</v>
      </c>
      <c r="AE77" s="18">
        <f t="shared" si="55"/>
        <v>35.5</v>
      </c>
      <c r="AF77" s="18">
        <v>40</v>
      </c>
      <c r="AG77" s="18">
        <v>40</v>
      </c>
      <c r="AH77" s="18">
        <f t="shared" si="56"/>
        <v>80</v>
      </c>
      <c r="AI77" s="18">
        <v>45</v>
      </c>
      <c r="AJ77" s="18">
        <v>42</v>
      </c>
      <c r="AK77" s="18">
        <f t="shared" si="57"/>
        <v>87</v>
      </c>
      <c r="AL77" s="18">
        <f t="shared" si="58"/>
        <v>85</v>
      </c>
      <c r="AM77" s="18">
        <f t="shared" si="59"/>
        <v>42.5</v>
      </c>
      <c r="AN77" s="18">
        <f t="shared" si="60"/>
        <v>82</v>
      </c>
      <c r="AO77" s="18">
        <f t="shared" si="61"/>
        <v>41</v>
      </c>
      <c r="AP77" s="26">
        <v>63</v>
      </c>
      <c r="AQ77" s="29" t="s">
        <v>374</v>
      </c>
    </row>
    <row r="78" spans="1:43" s="20" customFormat="1" ht="15.75" customHeight="1">
      <c r="A78" s="23"/>
      <c r="B78" s="10" t="s">
        <v>538</v>
      </c>
      <c r="C78" s="22" t="s">
        <v>539</v>
      </c>
      <c r="D78" s="23">
        <v>146</v>
      </c>
      <c r="E78" s="70" t="s">
        <v>604</v>
      </c>
      <c r="F78" s="12" t="s">
        <v>341</v>
      </c>
      <c r="G78" s="18" t="s">
        <v>331</v>
      </c>
      <c r="H78" s="36">
        <v>26</v>
      </c>
      <c r="I78" s="36">
        <v>25</v>
      </c>
      <c r="J78" s="36">
        <v>51</v>
      </c>
      <c r="K78" s="89">
        <v>25.5</v>
      </c>
      <c r="L78" s="90">
        <v>48</v>
      </c>
      <c r="M78" s="90">
        <v>45</v>
      </c>
      <c r="N78" s="90">
        <v>93</v>
      </c>
      <c r="O78" s="91">
        <v>46.5</v>
      </c>
      <c r="P78" s="90">
        <v>49</v>
      </c>
      <c r="Q78" s="90">
        <v>45</v>
      </c>
      <c r="R78" s="90">
        <v>94</v>
      </c>
      <c r="S78" s="91">
        <v>47</v>
      </c>
      <c r="T78" s="88"/>
      <c r="U78" s="86">
        <f t="shared" si="51"/>
        <v>119</v>
      </c>
      <c r="V78" s="18">
        <v>8</v>
      </c>
      <c r="W78" s="18">
        <v>10</v>
      </c>
      <c r="X78" s="18">
        <v>8</v>
      </c>
      <c r="Y78" s="18">
        <f t="shared" si="52"/>
        <v>26</v>
      </c>
      <c r="Z78" s="18">
        <v>5</v>
      </c>
      <c r="AA78" s="18">
        <v>15</v>
      </c>
      <c r="AB78" s="18">
        <v>5</v>
      </c>
      <c r="AC78" s="18">
        <f t="shared" si="53"/>
        <v>25</v>
      </c>
      <c r="AD78" s="18">
        <f t="shared" si="54"/>
        <v>51</v>
      </c>
      <c r="AE78" s="18">
        <f t="shared" si="55"/>
        <v>25.5</v>
      </c>
      <c r="AF78" s="18">
        <v>48</v>
      </c>
      <c r="AG78" s="18">
        <v>49</v>
      </c>
      <c r="AH78" s="18">
        <f t="shared" si="56"/>
        <v>97</v>
      </c>
      <c r="AI78" s="18">
        <v>45</v>
      </c>
      <c r="AJ78" s="18">
        <v>45</v>
      </c>
      <c r="AK78" s="18">
        <f t="shared" si="57"/>
        <v>90</v>
      </c>
      <c r="AL78" s="18">
        <f t="shared" si="58"/>
        <v>93</v>
      </c>
      <c r="AM78" s="18">
        <f t="shared" si="59"/>
        <v>46.5</v>
      </c>
      <c r="AN78" s="18">
        <f t="shared" si="60"/>
        <v>94</v>
      </c>
      <c r="AO78" s="18">
        <f t="shared" si="61"/>
        <v>47</v>
      </c>
      <c r="AP78" s="26">
        <v>77</v>
      </c>
      <c r="AQ78" s="33" t="s">
        <v>540</v>
      </c>
    </row>
    <row r="79" spans="1:43" s="20" customFormat="1" ht="15.75" customHeight="1">
      <c r="A79" s="23"/>
      <c r="B79" s="10" t="s">
        <v>541</v>
      </c>
      <c r="C79" s="43" t="s">
        <v>542</v>
      </c>
      <c r="D79" s="23">
        <v>2</v>
      </c>
      <c r="E79" s="70" t="s">
        <v>604</v>
      </c>
      <c r="F79" s="28" t="s">
        <v>28</v>
      </c>
      <c r="G79" s="26" t="s">
        <v>331</v>
      </c>
      <c r="H79" s="62">
        <v>40</v>
      </c>
      <c r="I79" s="62">
        <v>40</v>
      </c>
      <c r="J79" s="62">
        <v>80</v>
      </c>
      <c r="K79" s="89">
        <v>40</v>
      </c>
      <c r="L79" s="90">
        <v>45</v>
      </c>
      <c r="M79" s="90">
        <v>45</v>
      </c>
      <c r="N79" s="90">
        <v>90</v>
      </c>
      <c r="O79" s="91">
        <v>45</v>
      </c>
      <c r="P79" s="90">
        <v>35</v>
      </c>
      <c r="Q79" s="90">
        <v>30</v>
      </c>
      <c r="R79" s="90">
        <v>65</v>
      </c>
      <c r="S79" s="91">
        <v>32.5</v>
      </c>
      <c r="T79" s="88"/>
      <c r="U79" s="86">
        <f t="shared" si="51"/>
        <v>117.5</v>
      </c>
      <c r="V79" s="18">
        <v>10</v>
      </c>
      <c r="W79" s="18">
        <v>15</v>
      </c>
      <c r="X79" s="18">
        <v>15</v>
      </c>
      <c r="Y79" s="18">
        <f t="shared" si="52"/>
        <v>40</v>
      </c>
      <c r="Z79" s="18">
        <v>10</v>
      </c>
      <c r="AA79" s="18">
        <v>15</v>
      </c>
      <c r="AB79" s="18">
        <v>15</v>
      </c>
      <c r="AC79" s="18">
        <f t="shared" si="53"/>
        <v>40</v>
      </c>
      <c r="AD79" s="18">
        <f t="shared" si="54"/>
        <v>80</v>
      </c>
      <c r="AE79" s="18">
        <f t="shared" si="55"/>
        <v>40</v>
      </c>
      <c r="AF79" s="18">
        <v>45</v>
      </c>
      <c r="AG79" s="18">
        <v>35</v>
      </c>
      <c r="AH79" s="18">
        <f t="shared" si="56"/>
        <v>80</v>
      </c>
      <c r="AI79" s="18">
        <v>45</v>
      </c>
      <c r="AJ79" s="18">
        <v>30</v>
      </c>
      <c r="AK79" s="18">
        <f t="shared" si="57"/>
        <v>75</v>
      </c>
      <c r="AL79" s="18">
        <f t="shared" si="58"/>
        <v>90</v>
      </c>
      <c r="AM79" s="18">
        <f t="shared" si="59"/>
        <v>45</v>
      </c>
      <c r="AN79" s="18">
        <f t="shared" si="60"/>
        <v>65</v>
      </c>
      <c r="AO79" s="18">
        <f t="shared" si="61"/>
        <v>32.5</v>
      </c>
      <c r="AP79" s="26">
        <v>80</v>
      </c>
      <c r="AQ79" s="33" t="s">
        <v>540</v>
      </c>
    </row>
    <row r="80" spans="1:43" s="20" customFormat="1" ht="15.75" customHeight="1">
      <c r="A80" s="23"/>
      <c r="B80" s="10" t="s">
        <v>543</v>
      </c>
      <c r="C80" s="22" t="s">
        <v>544</v>
      </c>
      <c r="D80" s="23">
        <v>108</v>
      </c>
      <c r="E80" s="70" t="s">
        <v>608</v>
      </c>
      <c r="F80" s="28" t="s">
        <v>30</v>
      </c>
      <c r="G80" s="18" t="s">
        <v>457</v>
      </c>
      <c r="H80" s="36">
        <v>30</v>
      </c>
      <c r="I80" s="36">
        <v>15</v>
      </c>
      <c r="J80" s="36">
        <v>45</v>
      </c>
      <c r="K80" s="89">
        <v>22.5</v>
      </c>
      <c r="L80" s="90">
        <v>50</v>
      </c>
      <c r="M80" s="90">
        <v>48</v>
      </c>
      <c r="N80" s="90">
        <v>98</v>
      </c>
      <c r="O80" s="91">
        <v>49</v>
      </c>
      <c r="P80" s="90">
        <v>40</v>
      </c>
      <c r="Q80" s="90">
        <v>50</v>
      </c>
      <c r="R80" s="90">
        <v>90</v>
      </c>
      <c r="S80" s="91">
        <v>45</v>
      </c>
      <c r="T80" s="88"/>
      <c r="U80" s="86">
        <f t="shared" si="51"/>
        <v>116.5</v>
      </c>
      <c r="V80" s="18">
        <v>10</v>
      </c>
      <c r="W80" s="18">
        <v>15</v>
      </c>
      <c r="X80" s="18">
        <v>5</v>
      </c>
      <c r="Y80" s="18">
        <f t="shared" si="52"/>
        <v>30</v>
      </c>
      <c r="Z80" s="18">
        <v>10</v>
      </c>
      <c r="AA80" s="18">
        <v>5</v>
      </c>
      <c r="AB80" s="18">
        <v>0</v>
      </c>
      <c r="AC80" s="18">
        <f t="shared" si="53"/>
        <v>15</v>
      </c>
      <c r="AD80" s="18">
        <f t="shared" si="54"/>
        <v>45</v>
      </c>
      <c r="AE80" s="18">
        <f t="shared" si="55"/>
        <v>22.5</v>
      </c>
      <c r="AF80" s="18">
        <v>50</v>
      </c>
      <c r="AG80" s="18">
        <v>40</v>
      </c>
      <c r="AH80" s="18">
        <f t="shared" si="56"/>
        <v>90</v>
      </c>
      <c r="AI80" s="18">
        <v>48</v>
      </c>
      <c r="AJ80" s="18">
        <v>50</v>
      </c>
      <c r="AK80" s="18">
        <f t="shared" si="57"/>
        <v>98</v>
      </c>
      <c r="AL80" s="18">
        <f t="shared" si="58"/>
        <v>98</v>
      </c>
      <c r="AM80" s="18">
        <f t="shared" si="59"/>
        <v>49</v>
      </c>
      <c r="AN80" s="18">
        <f t="shared" si="60"/>
        <v>90</v>
      </c>
      <c r="AO80" s="18">
        <f t="shared" si="61"/>
        <v>45</v>
      </c>
      <c r="AP80" s="26">
        <v>12</v>
      </c>
      <c r="AQ80" s="29" t="s">
        <v>545</v>
      </c>
    </row>
    <row r="81" spans="1:43" s="20" customFormat="1" ht="15.75" customHeight="1">
      <c r="A81" s="23"/>
      <c r="B81" s="10" t="s">
        <v>546</v>
      </c>
      <c r="C81" s="22" t="s">
        <v>547</v>
      </c>
      <c r="D81" s="23">
        <v>17</v>
      </c>
      <c r="E81" s="70" t="s">
        <v>606</v>
      </c>
      <c r="F81" s="28" t="s">
        <v>30</v>
      </c>
      <c r="G81" s="18" t="s">
        <v>357</v>
      </c>
      <c r="H81" s="36">
        <v>43</v>
      </c>
      <c r="I81" s="36">
        <v>30</v>
      </c>
      <c r="J81" s="36">
        <v>73</v>
      </c>
      <c r="K81" s="89">
        <v>36.5</v>
      </c>
      <c r="L81" s="90">
        <v>40</v>
      </c>
      <c r="M81" s="90">
        <v>40</v>
      </c>
      <c r="N81" s="90">
        <v>80</v>
      </c>
      <c r="O81" s="91">
        <v>40</v>
      </c>
      <c r="P81" s="90">
        <v>40</v>
      </c>
      <c r="Q81" s="90">
        <v>40</v>
      </c>
      <c r="R81" s="90">
        <v>80</v>
      </c>
      <c r="S81" s="91">
        <v>40</v>
      </c>
      <c r="T81" s="88"/>
      <c r="U81" s="86">
        <f t="shared" si="51"/>
        <v>116.5</v>
      </c>
      <c r="V81" s="18">
        <v>12</v>
      </c>
      <c r="W81" s="18">
        <v>13</v>
      </c>
      <c r="X81" s="18">
        <v>18</v>
      </c>
      <c r="Y81" s="18">
        <f t="shared" si="52"/>
        <v>43</v>
      </c>
      <c r="Z81" s="18">
        <v>10</v>
      </c>
      <c r="AA81" s="18">
        <v>10</v>
      </c>
      <c r="AB81" s="18">
        <v>10</v>
      </c>
      <c r="AC81" s="18">
        <f t="shared" si="53"/>
        <v>30</v>
      </c>
      <c r="AD81" s="18">
        <f t="shared" si="54"/>
        <v>73</v>
      </c>
      <c r="AE81" s="18">
        <f t="shared" si="55"/>
        <v>36.5</v>
      </c>
      <c r="AF81" s="18">
        <v>40</v>
      </c>
      <c r="AG81" s="18">
        <v>40</v>
      </c>
      <c r="AH81" s="18">
        <f t="shared" si="56"/>
        <v>80</v>
      </c>
      <c r="AI81" s="18">
        <v>40</v>
      </c>
      <c r="AJ81" s="18">
        <v>40</v>
      </c>
      <c r="AK81" s="18">
        <f t="shared" si="57"/>
        <v>80</v>
      </c>
      <c r="AL81" s="18">
        <f t="shared" si="58"/>
        <v>80</v>
      </c>
      <c r="AM81" s="18">
        <f t="shared" si="59"/>
        <v>40</v>
      </c>
      <c r="AN81" s="18">
        <f t="shared" si="60"/>
        <v>80</v>
      </c>
      <c r="AO81" s="18">
        <f t="shared" si="61"/>
        <v>40</v>
      </c>
      <c r="AP81" s="26">
        <v>81</v>
      </c>
      <c r="AQ81" s="29" t="s">
        <v>358</v>
      </c>
    </row>
    <row r="82" spans="1:43" s="20" customFormat="1" ht="15.75" customHeight="1">
      <c r="A82" s="23"/>
      <c r="B82" s="10" t="s">
        <v>550</v>
      </c>
      <c r="C82" s="22" t="s">
        <v>551</v>
      </c>
      <c r="D82" s="23">
        <v>270</v>
      </c>
      <c r="E82" s="70" t="s">
        <v>607</v>
      </c>
      <c r="F82" s="12" t="s">
        <v>341</v>
      </c>
      <c r="G82" s="18" t="s">
        <v>29</v>
      </c>
      <c r="H82" s="36">
        <v>35</v>
      </c>
      <c r="I82" s="36">
        <v>35</v>
      </c>
      <c r="J82" s="36">
        <v>70</v>
      </c>
      <c r="K82" s="89">
        <v>35</v>
      </c>
      <c r="L82" s="90">
        <v>40</v>
      </c>
      <c r="M82" s="90">
        <v>40</v>
      </c>
      <c r="N82" s="90">
        <v>80</v>
      </c>
      <c r="O82" s="91">
        <v>40</v>
      </c>
      <c r="P82" s="90">
        <v>40</v>
      </c>
      <c r="Q82" s="90">
        <v>40</v>
      </c>
      <c r="R82" s="90">
        <v>80</v>
      </c>
      <c r="S82" s="91">
        <v>40</v>
      </c>
      <c r="T82" s="88"/>
      <c r="U82" s="86">
        <f t="shared" si="51"/>
        <v>115</v>
      </c>
      <c r="V82" s="18">
        <v>10</v>
      </c>
      <c r="W82" s="18">
        <v>12</v>
      </c>
      <c r="X82" s="18">
        <v>13</v>
      </c>
      <c r="Y82" s="18">
        <f t="shared" si="52"/>
        <v>35</v>
      </c>
      <c r="Z82" s="18">
        <v>10</v>
      </c>
      <c r="AA82" s="18">
        <v>15</v>
      </c>
      <c r="AB82" s="18">
        <v>10</v>
      </c>
      <c r="AC82" s="18">
        <f t="shared" si="53"/>
        <v>35</v>
      </c>
      <c r="AD82" s="18">
        <f t="shared" si="54"/>
        <v>70</v>
      </c>
      <c r="AE82" s="18">
        <f t="shared" si="55"/>
        <v>35</v>
      </c>
      <c r="AF82" s="18">
        <v>40</v>
      </c>
      <c r="AG82" s="18">
        <v>40</v>
      </c>
      <c r="AH82" s="18">
        <f t="shared" si="56"/>
        <v>80</v>
      </c>
      <c r="AI82" s="18">
        <v>40</v>
      </c>
      <c r="AJ82" s="18">
        <v>40</v>
      </c>
      <c r="AK82" s="18">
        <f t="shared" si="57"/>
        <v>80</v>
      </c>
      <c r="AL82" s="18">
        <f t="shared" si="58"/>
        <v>80</v>
      </c>
      <c r="AM82" s="18">
        <f t="shared" si="59"/>
        <v>40</v>
      </c>
      <c r="AN82" s="18">
        <f t="shared" si="60"/>
        <v>80</v>
      </c>
      <c r="AO82" s="18">
        <f t="shared" si="61"/>
        <v>40</v>
      </c>
      <c r="AP82" s="26">
        <v>18</v>
      </c>
      <c r="AQ82" s="29" t="s">
        <v>445</v>
      </c>
    </row>
    <row r="83" spans="1:43" s="20" customFormat="1" ht="15.75" customHeight="1">
      <c r="A83" s="23"/>
      <c r="B83" s="38" t="s">
        <v>554</v>
      </c>
      <c r="C83" s="44" t="s">
        <v>555</v>
      </c>
      <c r="D83" s="23">
        <v>114</v>
      </c>
      <c r="E83" s="70" t="s">
        <v>608</v>
      </c>
      <c r="F83" s="28" t="s">
        <v>30</v>
      </c>
      <c r="G83" s="18" t="s">
        <v>411</v>
      </c>
      <c r="H83" s="36">
        <v>32</v>
      </c>
      <c r="I83" s="36">
        <v>20</v>
      </c>
      <c r="J83" s="36">
        <v>52</v>
      </c>
      <c r="K83" s="89">
        <v>26</v>
      </c>
      <c r="L83" s="90">
        <v>40</v>
      </c>
      <c r="M83" s="90">
        <v>45</v>
      </c>
      <c r="N83" s="90">
        <v>85</v>
      </c>
      <c r="O83" s="91">
        <v>42.5</v>
      </c>
      <c r="P83" s="90">
        <v>40</v>
      </c>
      <c r="Q83" s="90">
        <v>50</v>
      </c>
      <c r="R83" s="90">
        <v>90</v>
      </c>
      <c r="S83" s="91">
        <v>45</v>
      </c>
      <c r="T83" s="88"/>
      <c r="U83" s="86">
        <f t="shared" si="51"/>
        <v>113.5</v>
      </c>
      <c r="V83" s="18">
        <v>12</v>
      </c>
      <c r="W83" s="18">
        <v>10</v>
      </c>
      <c r="X83" s="18">
        <v>10</v>
      </c>
      <c r="Y83" s="18">
        <f t="shared" si="52"/>
        <v>32</v>
      </c>
      <c r="Z83" s="18">
        <v>10</v>
      </c>
      <c r="AA83" s="18">
        <v>5</v>
      </c>
      <c r="AB83" s="18">
        <v>5</v>
      </c>
      <c r="AC83" s="18">
        <f t="shared" si="53"/>
        <v>20</v>
      </c>
      <c r="AD83" s="18">
        <f t="shared" si="54"/>
        <v>52</v>
      </c>
      <c r="AE83" s="18">
        <f t="shared" si="55"/>
        <v>26</v>
      </c>
      <c r="AF83" s="18">
        <v>40</v>
      </c>
      <c r="AG83" s="18">
        <v>40</v>
      </c>
      <c r="AH83" s="18">
        <f t="shared" si="56"/>
        <v>80</v>
      </c>
      <c r="AI83" s="18">
        <v>45</v>
      </c>
      <c r="AJ83" s="18">
        <v>50</v>
      </c>
      <c r="AK83" s="18">
        <f t="shared" si="57"/>
        <v>95</v>
      </c>
      <c r="AL83" s="18">
        <f t="shared" si="58"/>
        <v>85</v>
      </c>
      <c r="AM83" s="18">
        <f t="shared" si="59"/>
        <v>42.5</v>
      </c>
      <c r="AN83" s="18">
        <f t="shared" si="60"/>
        <v>90</v>
      </c>
      <c r="AO83" s="18">
        <f t="shared" si="61"/>
        <v>45</v>
      </c>
      <c r="AP83" s="26">
        <v>106</v>
      </c>
      <c r="AQ83" s="31">
        <v>30</v>
      </c>
    </row>
    <row r="84" spans="1:43" s="20" customFormat="1" ht="15.75" customHeight="1">
      <c r="A84" s="23"/>
      <c r="B84" s="10" t="s">
        <v>556</v>
      </c>
      <c r="C84" s="22" t="s">
        <v>557</v>
      </c>
      <c r="D84" s="23">
        <v>151</v>
      </c>
      <c r="E84" s="70" t="s">
        <v>605</v>
      </c>
      <c r="F84" s="28" t="s">
        <v>30</v>
      </c>
      <c r="G84" s="18" t="s">
        <v>357</v>
      </c>
      <c r="H84" s="36">
        <v>45</v>
      </c>
      <c r="I84" s="36">
        <v>35</v>
      </c>
      <c r="J84" s="36">
        <v>80</v>
      </c>
      <c r="K84" s="89">
        <v>40</v>
      </c>
      <c r="L84" s="90">
        <v>30</v>
      </c>
      <c r="M84" s="90">
        <v>40</v>
      </c>
      <c r="N84" s="90">
        <v>70</v>
      </c>
      <c r="O84" s="91">
        <v>35</v>
      </c>
      <c r="P84" s="90">
        <v>40</v>
      </c>
      <c r="Q84" s="90">
        <v>35</v>
      </c>
      <c r="R84" s="90">
        <v>75</v>
      </c>
      <c r="S84" s="91">
        <v>37.5</v>
      </c>
      <c r="T84" s="88"/>
      <c r="U84" s="86">
        <f t="shared" si="51"/>
        <v>112.5</v>
      </c>
      <c r="V84" s="18">
        <v>12</v>
      </c>
      <c r="W84" s="18">
        <v>10</v>
      </c>
      <c r="X84" s="18">
        <v>23</v>
      </c>
      <c r="Y84" s="18">
        <f t="shared" si="52"/>
        <v>45</v>
      </c>
      <c r="Z84" s="18">
        <v>10</v>
      </c>
      <c r="AA84" s="18">
        <v>10</v>
      </c>
      <c r="AB84" s="18">
        <v>15</v>
      </c>
      <c r="AC84" s="18">
        <f t="shared" si="53"/>
        <v>35</v>
      </c>
      <c r="AD84" s="18">
        <f t="shared" si="54"/>
        <v>80</v>
      </c>
      <c r="AE84" s="18">
        <f t="shared" si="55"/>
        <v>40</v>
      </c>
      <c r="AF84" s="18">
        <v>30</v>
      </c>
      <c r="AG84" s="18">
        <v>40</v>
      </c>
      <c r="AH84" s="18">
        <f t="shared" si="56"/>
        <v>70</v>
      </c>
      <c r="AI84" s="18">
        <v>40</v>
      </c>
      <c r="AJ84" s="18">
        <v>35</v>
      </c>
      <c r="AK84" s="18">
        <f t="shared" si="57"/>
        <v>75</v>
      </c>
      <c r="AL84" s="18">
        <f t="shared" si="58"/>
        <v>70</v>
      </c>
      <c r="AM84" s="18">
        <f t="shared" si="59"/>
        <v>35</v>
      </c>
      <c r="AN84" s="18">
        <f t="shared" si="60"/>
        <v>75</v>
      </c>
      <c r="AO84" s="18">
        <f t="shared" si="61"/>
        <v>37.5</v>
      </c>
      <c r="AP84" s="26">
        <v>95</v>
      </c>
      <c r="AQ84" s="29" t="s">
        <v>558</v>
      </c>
    </row>
    <row r="85" spans="1:43" s="20" customFormat="1" ht="15.75" customHeight="1">
      <c r="A85" s="23"/>
      <c r="B85" s="10" t="s">
        <v>559</v>
      </c>
      <c r="C85" s="22" t="s">
        <v>560</v>
      </c>
      <c r="D85" s="23">
        <v>420</v>
      </c>
      <c r="E85" s="70" t="s">
        <v>609</v>
      </c>
      <c r="F85" s="12" t="s">
        <v>341</v>
      </c>
      <c r="G85" s="18" t="s">
        <v>30</v>
      </c>
      <c r="H85" s="36">
        <v>25</v>
      </c>
      <c r="I85" s="36">
        <v>15</v>
      </c>
      <c r="J85" s="36">
        <v>40</v>
      </c>
      <c r="K85" s="89">
        <v>20</v>
      </c>
      <c r="L85" s="90">
        <v>46</v>
      </c>
      <c r="M85" s="90">
        <v>46</v>
      </c>
      <c r="N85" s="90">
        <v>92</v>
      </c>
      <c r="O85" s="91">
        <v>46</v>
      </c>
      <c r="P85" s="90">
        <v>46</v>
      </c>
      <c r="Q85" s="90">
        <v>46</v>
      </c>
      <c r="R85" s="90">
        <v>92</v>
      </c>
      <c r="S85" s="91">
        <v>46</v>
      </c>
      <c r="T85" s="88"/>
      <c r="U85" s="86">
        <f t="shared" si="51"/>
        <v>112</v>
      </c>
      <c r="V85" s="18">
        <v>12</v>
      </c>
      <c r="W85" s="18">
        <v>8</v>
      </c>
      <c r="X85" s="18">
        <v>5</v>
      </c>
      <c r="Y85" s="18">
        <f t="shared" si="52"/>
        <v>25</v>
      </c>
      <c r="Z85" s="18">
        <v>5</v>
      </c>
      <c r="AA85" s="18">
        <v>5</v>
      </c>
      <c r="AB85" s="18">
        <v>5</v>
      </c>
      <c r="AC85" s="18">
        <f t="shared" si="53"/>
        <v>15</v>
      </c>
      <c r="AD85" s="18">
        <f t="shared" si="54"/>
        <v>40</v>
      </c>
      <c r="AE85" s="18">
        <f t="shared" si="55"/>
        <v>20</v>
      </c>
      <c r="AF85" s="18">
        <v>46</v>
      </c>
      <c r="AG85" s="18">
        <v>46</v>
      </c>
      <c r="AH85" s="18">
        <f t="shared" si="56"/>
        <v>92</v>
      </c>
      <c r="AI85" s="18">
        <v>46</v>
      </c>
      <c r="AJ85" s="18">
        <v>46</v>
      </c>
      <c r="AK85" s="18">
        <f t="shared" si="57"/>
        <v>92</v>
      </c>
      <c r="AL85" s="18">
        <f t="shared" si="58"/>
        <v>92</v>
      </c>
      <c r="AM85" s="18">
        <f t="shared" si="59"/>
        <v>46</v>
      </c>
      <c r="AN85" s="18">
        <f t="shared" si="60"/>
        <v>92</v>
      </c>
      <c r="AO85" s="18">
        <f t="shared" si="61"/>
        <v>46</v>
      </c>
      <c r="AP85" s="26">
        <v>62</v>
      </c>
      <c r="AQ85" s="29" t="s">
        <v>561</v>
      </c>
    </row>
    <row r="86" spans="1:43" s="20" customFormat="1" ht="15.75" customHeight="1">
      <c r="A86" s="23"/>
      <c r="B86" s="10" t="s">
        <v>562</v>
      </c>
      <c r="C86" s="22" t="s">
        <v>563</v>
      </c>
      <c r="D86" s="23">
        <v>130</v>
      </c>
      <c r="E86" s="70" t="s">
        <v>604</v>
      </c>
      <c r="F86" s="28" t="s">
        <v>29</v>
      </c>
      <c r="G86" s="18" t="s">
        <v>30</v>
      </c>
      <c r="H86" s="36">
        <v>35</v>
      </c>
      <c r="I86" s="36">
        <v>35</v>
      </c>
      <c r="J86" s="36">
        <v>70</v>
      </c>
      <c r="K86" s="89">
        <v>35</v>
      </c>
      <c r="L86" s="90">
        <v>40</v>
      </c>
      <c r="M86" s="90">
        <v>40</v>
      </c>
      <c r="N86" s="90">
        <v>80</v>
      </c>
      <c r="O86" s="91">
        <v>40</v>
      </c>
      <c r="P86" s="90">
        <v>35</v>
      </c>
      <c r="Q86" s="90">
        <v>35</v>
      </c>
      <c r="R86" s="90">
        <v>70</v>
      </c>
      <c r="S86" s="91">
        <v>35</v>
      </c>
      <c r="T86" s="88"/>
      <c r="U86" s="86">
        <f t="shared" si="51"/>
        <v>110</v>
      </c>
      <c r="V86" s="18">
        <v>13</v>
      </c>
      <c r="W86" s="18">
        <v>12</v>
      </c>
      <c r="X86" s="18">
        <v>10</v>
      </c>
      <c r="Y86" s="18">
        <f t="shared" si="52"/>
        <v>35</v>
      </c>
      <c r="Z86" s="18">
        <v>15</v>
      </c>
      <c r="AA86" s="18">
        <v>10</v>
      </c>
      <c r="AB86" s="18">
        <v>10</v>
      </c>
      <c r="AC86" s="18">
        <f t="shared" si="53"/>
        <v>35</v>
      </c>
      <c r="AD86" s="18">
        <f t="shared" si="54"/>
        <v>70</v>
      </c>
      <c r="AE86" s="18">
        <f t="shared" si="55"/>
        <v>35</v>
      </c>
      <c r="AF86" s="18">
        <v>40</v>
      </c>
      <c r="AG86" s="18">
        <v>35</v>
      </c>
      <c r="AH86" s="18">
        <f t="shared" si="56"/>
        <v>75</v>
      </c>
      <c r="AI86" s="18">
        <v>40</v>
      </c>
      <c r="AJ86" s="18">
        <v>35</v>
      </c>
      <c r="AK86" s="18">
        <f t="shared" si="57"/>
        <v>75</v>
      </c>
      <c r="AL86" s="18">
        <f t="shared" si="58"/>
        <v>80</v>
      </c>
      <c r="AM86" s="18">
        <f t="shared" si="59"/>
        <v>40</v>
      </c>
      <c r="AN86" s="18">
        <f t="shared" si="60"/>
        <v>70</v>
      </c>
      <c r="AO86" s="18">
        <f t="shared" si="61"/>
        <v>35</v>
      </c>
      <c r="AP86" s="26">
        <v>72</v>
      </c>
      <c r="AQ86" s="9" t="s">
        <v>374</v>
      </c>
    </row>
    <row r="87" spans="1:43" s="20" customFormat="1">
      <c r="A87" s="23"/>
      <c r="B87" s="10" t="s">
        <v>564</v>
      </c>
      <c r="C87" s="22" t="s">
        <v>534</v>
      </c>
      <c r="D87" s="23">
        <v>118</v>
      </c>
      <c r="E87" s="70" t="s">
        <v>606</v>
      </c>
      <c r="F87" s="28" t="s">
        <v>29</v>
      </c>
      <c r="G87" s="18" t="s">
        <v>30</v>
      </c>
      <c r="H87" s="36">
        <v>32</v>
      </c>
      <c r="I87" s="36">
        <v>35</v>
      </c>
      <c r="J87" s="36">
        <v>67</v>
      </c>
      <c r="K87" s="89">
        <v>33.5</v>
      </c>
      <c r="L87" s="90">
        <v>40</v>
      </c>
      <c r="M87" s="90">
        <v>45</v>
      </c>
      <c r="N87" s="90">
        <v>85</v>
      </c>
      <c r="O87" s="91">
        <v>42.5</v>
      </c>
      <c r="P87" s="90">
        <v>30</v>
      </c>
      <c r="Q87" s="90">
        <v>35</v>
      </c>
      <c r="R87" s="90">
        <v>65</v>
      </c>
      <c r="S87" s="91">
        <v>32.5</v>
      </c>
      <c r="T87" s="88"/>
      <c r="U87" s="86">
        <f t="shared" si="51"/>
        <v>108.5</v>
      </c>
      <c r="V87" s="18">
        <v>10</v>
      </c>
      <c r="W87" s="18">
        <v>12</v>
      </c>
      <c r="X87" s="18">
        <v>10</v>
      </c>
      <c r="Y87" s="18">
        <f t="shared" si="52"/>
        <v>32</v>
      </c>
      <c r="Z87" s="18">
        <v>10</v>
      </c>
      <c r="AA87" s="18">
        <v>10</v>
      </c>
      <c r="AB87" s="18">
        <v>15</v>
      </c>
      <c r="AC87" s="18">
        <f t="shared" si="53"/>
        <v>35</v>
      </c>
      <c r="AD87" s="18">
        <f t="shared" si="54"/>
        <v>67</v>
      </c>
      <c r="AE87" s="18">
        <f t="shared" si="55"/>
        <v>33.5</v>
      </c>
      <c r="AF87" s="18">
        <v>40</v>
      </c>
      <c r="AG87" s="18">
        <v>30</v>
      </c>
      <c r="AH87" s="18">
        <f t="shared" si="56"/>
        <v>70</v>
      </c>
      <c r="AI87" s="18">
        <v>45</v>
      </c>
      <c r="AJ87" s="18">
        <v>35</v>
      </c>
      <c r="AK87" s="18">
        <f t="shared" si="57"/>
        <v>80</v>
      </c>
      <c r="AL87" s="18">
        <f t="shared" si="58"/>
        <v>85</v>
      </c>
      <c r="AM87" s="18">
        <f t="shared" si="59"/>
        <v>42.5</v>
      </c>
      <c r="AN87" s="18">
        <f t="shared" si="60"/>
        <v>65</v>
      </c>
      <c r="AO87" s="18">
        <f t="shared" si="61"/>
        <v>32.5</v>
      </c>
      <c r="AP87" s="26">
        <v>65</v>
      </c>
      <c r="AQ87" s="29" t="s">
        <v>565</v>
      </c>
    </row>
    <row r="88" spans="1:43" s="20" customFormat="1" ht="15.75" customHeight="1">
      <c r="A88" s="23"/>
      <c r="B88" s="10" t="s">
        <v>566</v>
      </c>
      <c r="C88" s="22" t="s">
        <v>567</v>
      </c>
      <c r="D88" s="23">
        <v>175</v>
      </c>
      <c r="E88" s="70" t="s">
        <v>609</v>
      </c>
      <c r="F88" s="28" t="s">
        <v>28</v>
      </c>
      <c r="G88" s="18" t="s">
        <v>329</v>
      </c>
      <c r="H88" s="36">
        <v>30</v>
      </c>
      <c r="I88" s="36">
        <v>35</v>
      </c>
      <c r="J88" s="36">
        <v>65</v>
      </c>
      <c r="K88" s="89">
        <v>32.5</v>
      </c>
      <c r="L88" s="90">
        <v>45</v>
      </c>
      <c r="M88" s="90">
        <v>50</v>
      </c>
      <c r="N88" s="90">
        <v>95</v>
      </c>
      <c r="O88" s="91">
        <v>47.5</v>
      </c>
      <c r="P88" s="90">
        <v>25</v>
      </c>
      <c r="Q88" s="90">
        <v>30</v>
      </c>
      <c r="R88" s="90">
        <v>55</v>
      </c>
      <c r="S88" s="91">
        <v>27.5</v>
      </c>
      <c r="T88" s="88"/>
      <c r="U88" s="86">
        <f t="shared" si="51"/>
        <v>107.5</v>
      </c>
      <c r="V88" s="18">
        <v>15</v>
      </c>
      <c r="W88" s="18">
        <v>10</v>
      </c>
      <c r="X88" s="18">
        <v>5</v>
      </c>
      <c r="Y88" s="18">
        <f t="shared" si="52"/>
        <v>30</v>
      </c>
      <c r="Z88" s="18">
        <v>20</v>
      </c>
      <c r="AA88" s="18">
        <v>15</v>
      </c>
      <c r="AB88" s="18">
        <v>0</v>
      </c>
      <c r="AC88" s="18">
        <f t="shared" si="53"/>
        <v>35</v>
      </c>
      <c r="AD88" s="18">
        <f t="shared" si="54"/>
        <v>65</v>
      </c>
      <c r="AE88" s="18">
        <f t="shared" si="55"/>
        <v>32.5</v>
      </c>
      <c r="AF88" s="18">
        <v>45</v>
      </c>
      <c r="AG88" s="18">
        <v>25</v>
      </c>
      <c r="AH88" s="18">
        <f t="shared" si="56"/>
        <v>70</v>
      </c>
      <c r="AI88" s="18">
        <v>50</v>
      </c>
      <c r="AJ88" s="18">
        <v>30</v>
      </c>
      <c r="AK88" s="18">
        <f t="shared" si="57"/>
        <v>80</v>
      </c>
      <c r="AL88" s="18">
        <f t="shared" si="58"/>
        <v>95</v>
      </c>
      <c r="AM88" s="18">
        <f t="shared" si="59"/>
        <v>47.5</v>
      </c>
      <c r="AN88" s="18">
        <f t="shared" si="60"/>
        <v>55</v>
      </c>
      <c r="AO88" s="18">
        <f t="shared" si="61"/>
        <v>27.5</v>
      </c>
      <c r="AP88" s="26">
        <v>45</v>
      </c>
      <c r="AQ88" s="29" t="s">
        <v>390</v>
      </c>
    </row>
    <row r="89" spans="1:43" s="20" customFormat="1" ht="15.75" customHeight="1">
      <c r="A89" s="23"/>
      <c r="B89" s="10" t="s">
        <v>499</v>
      </c>
      <c r="C89" s="22" t="s">
        <v>568</v>
      </c>
      <c r="D89" s="23">
        <v>95</v>
      </c>
      <c r="E89" s="70" t="s">
        <v>605</v>
      </c>
      <c r="F89" s="28" t="s">
        <v>30</v>
      </c>
      <c r="G89" s="18" t="s">
        <v>397</v>
      </c>
      <c r="H89" s="36">
        <v>42</v>
      </c>
      <c r="I89" s="36">
        <v>50</v>
      </c>
      <c r="J89" s="36">
        <v>92</v>
      </c>
      <c r="K89" s="89">
        <v>46</v>
      </c>
      <c r="L89" s="90">
        <v>40</v>
      </c>
      <c r="M89" s="90">
        <v>20</v>
      </c>
      <c r="N89" s="90">
        <v>60</v>
      </c>
      <c r="O89" s="91">
        <v>30</v>
      </c>
      <c r="P89" s="90">
        <v>35</v>
      </c>
      <c r="Q89" s="90">
        <v>25</v>
      </c>
      <c r="R89" s="90">
        <v>60</v>
      </c>
      <c r="S89" s="91">
        <v>30</v>
      </c>
      <c r="T89" s="88"/>
      <c r="U89" s="86">
        <f t="shared" si="51"/>
        <v>106</v>
      </c>
      <c r="V89" s="18">
        <v>25</v>
      </c>
      <c r="W89" s="18">
        <v>5</v>
      </c>
      <c r="X89" s="18">
        <v>12</v>
      </c>
      <c r="Y89" s="18">
        <f t="shared" si="52"/>
        <v>42</v>
      </c>
      <c r="Z89" s="18">
        <v>15</v>
      </c>
      <c r="AA89" s="18">
        <v>15</v>
      </c>
      <c r="AB89" s="18">
        <v>20</v>
      </c>
      <c r="AC89" s="18">
        <f t="shared" si="53"/>
        <v>50</v>
      </c>
      <c r="AD89" s="18">
        <f t="shared" si="54"/>
        <v>92</v>
      </c>
      <c r="AE89" s="18">
        <f t="shared" si="55"/>
        <v>46</v>
      </c>
      <c r="AF89" s="18">
        <v>40</v>
      </c>
      <c r="AG89" s="18">
        <v>35</v>
      </c>
      <c r="AH89" s="18">
        <f t="shared" si="56"/>
        <v>75</v>
      </c>
      <c r="AI89" s="18">
        <v>20</v>
      </c>
      <c r="AJ89" s="18">
        <v>25</v>
      </c>
      <c r="AK89" s="18">
        <f t="shared" si="57"/>
        <v>45</v>
      </c>
      <c r="AL89" s="18">
        <f t="shared" si="58"/>
        <v>60</v>
      </c>
      <c r="AM89" s="18">
        <f t="shared" si="59"/>
        <v>30</v>
      </c>
      <c r="AN89" s="18">
        <f t="shared" si="60"/>
        <v>60</v>
      </c>
      <c r="AO89" s="18">
        <f t="shared" si="61"/>
        <v>30</v>
      </c>
      <c r="AP89" s="26">
        <v>43</v>
      </c>
      <c r="AQ89" s="29" t="s">
        <v>398</v>
      </c>
    </row>
    <row r="90" spans="1:43" s="20" customFormat="1">
      <c r="A90" s="23"/>
      <c r="B90" s="10" t="s">
        <v>569</v>
      </c>
      <c r="C90" s="22" t="s">
        <v>570</v>
      </c>
      <c r="D90" s="23">
        <v>317</v>
      </c>
      <c r="E90" s="70" t="s">
        <v>608</v>
      </c>
      <c r="F90" s="28" t="s">
        <v>28</v>
      </c>
      <c r="G90" s="18" t="s">
        <v>425</v>
      </c>
      <c r="H90" s="36">
        <v>24</v>
      </c>
      <c r="I90" s="36">
        <v>15</v>
      </c>
      <c r="J90" s="36">
        <v>39</v>
      </c>
      <c r="K90" s="89">
        <v>19.5</v>
      </c>
      <c r="L90" s="90">
        <v>40</v>
      </c>
      <c r="M90" s="90">
        <v>50</v>
      </c>
      <c r="N90" s="90">
        <v>90</v>
      </c>
      <c r="O90" s="91">
        <v>45</v>
      </c>
      <c r="P90" s="90">
        <v>45</v>
      </c>
      <c r="Q90" s="90">
        <v>35</v>
      </c>
      <c r="R90" s="90">
        <v>80</v>
      </c>
      <c r="S90" s="91">
        <v>40</v>
      </c>
      <c r="T90" s="88"/>
      <c r="U90" s="86">
        <f t="shared" si="51"/>
        <v>104.5</v>
      </c>
      <c r="V90" s="18">
        <v>8</v>
      </c>
      <c r="W90" s="18">
        <v>8</v>
      </c>
      <c r="X90" s="18">
        <v>8</v>
      </c>
      <c r="Y90" s="18">
        <f t="shared" si="52"/>
        <v>24</v>
      </c>
      <c r="Z90" s="18">
        <v>5</v>
      </c>
      <c r="AA90" s="18">
        <v>5</v>
      </c>
      <c r="AB90" s="18">
        <v>5</v>
      </c>
      <c r="AC90" s="18">
        <f t="shared" si="53"/>
        <v>15</v>
      </c>
      <c r="AD90" s="18">
        <f t="shared" si="54"/>
        <v>39</v>
      </c>
      <c r="AE90" s="18">
        <f t="shared" si="55"/>
        <v>19.5</v>
      </c>
      <c r="AF90" s="18">
        <v>40</v>
      </c>
      <c r="AG90" s="18">
        <v>45</v>
      </c>
      <c r="AH90" s="18">
        <f t="shared" si="56"/>
        <v>85</v>
      </c>
      <c r="AI90" s="18">
        <v>50</v>
      </c>
      <c r="AJ90" s="18">
        <v>35</v>
      </c>
      <c r="AK90" s="18">
        <f t="shared" si="57"/>
        <v>85</v>
      </c>
      <c r="AL90" s="18">
        <f t="shared" si="58"/>
        <v>90</v>
      </c>
      <c r="AM90" s="18">
        <f t="shared" si="59"/>
        <v>45</v>
      </c>
      <c r="AN90" s="18">
        <f t="shared" si="60"/>
        <v>80</v>
      </c>
      <c r="AO90" s="18">
        <f t="shared" si="61"/>
        <v>40</v>
      </c>
      <c r="AP90" s="26">
        <v>75</v>
      </c>
      <c r="AQ90" s="29" t="s">
        <v>571</v>
      </c>
    </row>
    <row r="91" spans="1:43" s="20" customFormat="1">
      <c r="A91" s="23"/>
      <c r="B91" s="10" t="s">
        <v>594</v>
      </c>
      <c r="C91" s="22" t="s">
        <v>595</v>
      </c>
      <c r="D91" s="23">
        <v>69</v>
      </c>
      <c r="E91" s="70" t="s">
        <v>607</v>
      </c>
      <c r="F91" s="28" t="s">
        <v>28</v>
      </c>
      <c r="G91" s="18" t="s">
        <v>30</v>
      </c>
      <c r="H91" s="36"/>
      <c r="I91" s="36"/>
      <c r="J91" s="36">
        <v>0</v>
      </c>
      <c r="K91" s="89">
        <v>25</v>
      </c>
      <c r="L91" s="90"/>
      <c r="M91" s="90"/>
      <c r="N91" s="90">
        <v>0</v>
      </c>
      <c r="O91" s="91">
        <v>40</v>
      </c>
      <c r="P91" s="90"/>
      <c r="Q91" s="90"/>
      <c r="R91" s="90">
        <v>0</v>
      </c>
      <c r="S91" s="91">
        <v>40</v>
      </c>
      <c r="T91" s="88"/>
      <c r="U91" s="86">
        <f>SUM(K91,O91,S91)</f>
        <v>105</v>
      </c>
      <c r="V91" s="18"/>
      <c r="W91" s="18"/>
      <c r="X91" s="18"/>
      <c r="Y91" s="18"/>
      <c r="Z91" s="18"/>
      <c r="AA91" s="18"/>
      <c r="AB91" s="18"/>
      <c r="AC91" s="18"/>
      <c r="AD91" s="18">
        <f>SUM(Y91,AC91)</f>
        <v>0</v>
      </c>
      <c r="AE91" s="18">
        <f>AD91/2</f>
        <v>0</v>
      </c>
      <c r="AF91" s="18"/>
      <c r="AG91" s="18"/>
      <c r="AH91" s="18"/>
      <c r="AI91" s="18"/>
      <c r="AJ91" s="18"/>
      <c r="AK91" s="18"/>
      <c r="AL91" s="18">
        <f>SUM(AF91,AI91)</f>
        <v>0</v>
      </c>
      <c r="AM91" s="18">
        <f>AL91/2</f>
        <v>0</v>
      </c>
      <c r="AN91" s="18">
        <f>SUM(AG91,AJ91)</f>
        <v>0</v>
      </c>
      <c r="AO91" s="18">
        <f>AN91/2</f>
        <v>0</v>
      </c>
      <c r="AP91" s="26">
        <v>58</v>
      </c>
      <c r="AQ91" s="29" t="s">
        <v>374</v>
      </c>
    </row>
    <row r="92" spans="1:43" s="20" customFormat="1">
      <c r="A92" s="23"/>
      <c r="B92" s="10" t="s">
        <v>572</v>
      </c>
      <c r="C92" s="22" t="s">
        <v>573</v>
      </c>
      <c r="D92" s="23">
        <v>159</v>
      </c>
      <c r="E92" s="70" t="s">
        <v>606</v>
      </c>
      <c r="F92" s="28" t="s">
        <v>28</v>
      </c>
      <c r="G92" s="18" t="s">
        <v>422</v>
      </c>
      <c r="H92" s="36">
        <v>35</v>
      </c>
      <c r="I92" s="36">
        <v>20</v>
      </c>
      <c r="J92" s="36">
        <v>55</v>
      </c>
      <c r="K92" s="89">
        <v>27.5</v>
      </c>
      <c r="L92" s="90">
        <v>33</v>
      </c>
      <c r="M92" s="90">
        <v>50</v>
      </c>
      <c r="N92" s="90">
        <v>83</v>
      </c>
      <c r="O92" s="91">
        <v>41.5</v>
      </c>
      <c r="P92" s="90">
        <v>33</v>
      </c>
      <c r="Q92" s="90">
        <v>35</v>
      </c>
      <c r="R92" s="90">
        <v>68</v>
      </c>
      <c r="S92" s="91">
        <v>34</v>
      </c>
      <c r="T92" s="88"/>
      <c r="U92" s="86">
        <f t="shared" si="51"/>
        <v>103</v>
      </c>
      <c r="V92" s="18">
        <v>5</v>
      </c>
      <c r="W92" s="18">
        <v>20</v>
      </c>
      <c r="X92" s="18">
        <v>10</v>
      </c>
      <c r="Y92" s="18">
        <f t="shared" si="52"/>
        <v>35</v>
      </c>
      <c r="Z92" s="18">
        <v>5</v>
      </c>
      <c r="AA92" s="18">
        <v>10</v>
      </c>
      <c r="AB92" s="18">
        <v>5</v>
      </c>
      <c r="AC92" s="18">
        <f t="shared" si="53"/>
        <v>20</v>
      </c>
      <c r="AD92" s="18">
        <f t="shared" si="54"/>
        <v>55</v>
      </c>
      <c r="AE92" s="18">
        <f t="shared" si="55"/>
        <v>27.5</v>
      </c>
      <c r="AF92" s="18">
        <v>33</v>
      </c>
      <c r="AG92" s="18">
        <v>33</v>
      </c>
      <c r="AH92" s="18">
        <f t="shared" si="56"/>
        <v>66</v>
      </c>
      <c r="AI92" s="18">
        <v>50</v>
      </c>
      <c r="AJ92" s="18">
        <v>35</v>
      </c>
      <c r="AK92" s="18">
        <f t="shared" si="57"/>
        <v>85</v>
      </c>
      <c r="AL92" s="18">
        <f t="shared" si="58"/>
        <v>83</v>
      </c>
      <c r="AM92" s="18">
        <f t="shared" si="59"/>
        <v>41.5</v>
      </c>
      <c r="AN92" s="18">
        <f t="shared" si="60"/>
        <v>68</v>
      </c>
      <c r="AO92" s="18">
        <f t="shared" si="61"/>
        <v>34</v>
      </c>
      <c r="AP92" s="26">
        <v>31</v>
      </c>
      <c r="AQ92" s="29" t="s">
        <v>574</v>
      </c>
    </row>
    <row r="93" spans="1:43" s="20" customFormat="1" ht="15.75" customHeight="1">
      <c r="A93" s="23"/>
      <c r="B93" s="10" t="s">
        <v>577</v>
      </c>
      <c r="C93" s="22" t="s">
        <v>578</v>
      </c>
      <c r="D93" s="23">
        <v>105</v>
      </c>
      <c r="E93" s="70" t="s">
        <v>604</v>
      </c>
      <c r="F93" s="28" t="s">
        <v>30</v>
      </c>
      <c r="G93" s="18" t="s">
        <v>422</v>
      </c>
      <c r="H93" s="36">
        <v>36</v>
      </c>
      <c r="I93" s="36">
        <v>35</v>
      </c>
      <c r="J93" s="36">
        <v>71</v>
      </c>
      <c r="K93" s="89">
        <v>35.5</v>
      </c>
      <c r="L93" s="90">
        <v>40</v>
      </c>
      <c r="M93" s="90">
        <v>30</v>
      </c>
      <c r="N93" s="90">
        <v>70</v>
      </c>
      <c r="O93" s="91">
        <v>35</v>
      </c>
      <c r="P93" s="90">
        <v>30</v>
      </c>
      <c r="Q93" s="90">
        <v>30</v>
      </c>
      <c r="R93" s="90">
        <v>60</v>
      </c>
      <c r="S93" s="91">
        <v>30</v>
      </c>
      <c r="T93" s="88"/>
      <c r="U93" s="86">
        <f t="shared" si="51"/>
        <v>100.5</v>
      </c>
      <c r="V93" s="18">
        <v>10</v>
      </c>
      <c r="W93" s="18">
        <v>13</v>
      </c>
      <c r="X93" s="18">
        <v>13</v>
      </c>
      <c r="Y93" s="18">
        <f t="shared" si="52"/>
        <v>36</v>
      </c>
      <c r="Z93" s="18">
        <v>15</v>
      </c>
      <c r="AA93" s="18">
        <v>10</v>
      </c>
      <c r="AB93" s="18">
        <v>10</v>
      </c>
      <c r="AC93" s="18">
        <f t="shared" si="53"/>
        <v>35</v>
      </c>
      <c r="AD93" s="18">
        <f t="shared" si="54"/>
        <v>71</v>
      </c>
      <c r="AE93" s="18">
        <f t="shared" si="55"/>
        <v>35.5</v>
      </c>
      <c r="AF93" s="18">
        <v>40</v>
      </c>
      <c r="AG93" s="18">
        <v>30</v>
      </c>
      <c r="AH93" s="18">
        <f t="shared" si="56"/>
        <v>70</v>
      </c>
      <c r="AI93" s="18">
        <v>30</v>
      </c>
      <c r="AJ93" s="18">
        <v>30</v>
      </c>
      <c r="AK93" s="18">
        <f t="shared" si="57"/>
        <v>60</v>
      </c>
      <c r="AL93" s="18">
        <f t="shared" si="58"/>
        <v>70</v>
      </c>
      <c r="AM93" s="18">
        <f t="shared" si="59"/>
        <v>35</v>
      </c>
      <c r="AN93" s="18">
        <f t="shared" si="60"/>
        <v>60</v>
      </c>
      <c r="AO93" s="18">
        <f t="shared" si="61"/>
        <v>30</v>
      </c>
      <c r="AP93" s="26">
        <v>82</v>
      </c>
      <c r="AQ93" s="9" t="s">
        <v>579</v>
      </c>
    </row>
    <row r="94" spans="1:43" s="20" customFormat="1" ht="15.75" customHeight="1">
      <c r="A94" s="23"/>
      <c r="B94" s="10" t="s">
        <v>580</v>
      </c>
      <c r="C94" s="22" t="s">
        <v>581</v>
      </c>
      <c r="D94" s="23">
        <v>103</v>
      </c>
      <c r="E94" s="70" t="s">
        <v>607</v>
      </c>
      <c r="F94" s="28" t="s">
        <v>30</v>
      </c>
      <c r="G94" s="18" t="s">
        <v>377</v>
      </c>
      <c r="H94" s="36">
        <v>27</v>
      </c>
      <c r="I94" s="36">
        <v>30</v>
      </c>
      <c r="J94" s="36">
        <v>57</v>
      </c>
      <c r="K94" s="89">
        <v>28.5</v>
      </c>
      <c r="L94" s="90">
        <v>40</v>
      </c>
      <c r="M94" s="90">
        <v>48</v>
      </c>
      <c r="N94" s="90">
        <v>88</v>
      </c>
      <c r="O94" s="91">
        <v>44</v>
      </c>
      <c r="P94" s="90">
        <v>30</v>
      </c>
      <c r="Q94" s="90">
        <v>22</v>
      </c>
      <c r="R94" s="90">
        <v>52</v>
      </c>
      <c r="S94" s="91">
        <v>26</v>
      </c>
      <c r="T94" s="88"/>
      <c r="U94" s="86">
        <f t="shared" si="51"/>
        <v>98.5</v>
      </c>
      <c r="V94" s="18">
        <v>12</v>
      </c>
      <c r="W94" s="18">
        <v>10</v>
      </c>
      <c r="X94" s="18">
        <v>5</v>
      </c>
      <c r="Y94" s="18">
        <f t="shared" si="52"/>
        <v>27</v>
      </c>
      <c r="Z94" s="18">
        <v>10</v>
      </c>
      <c r="AA94" s="18">
        <v>10</v>
      </c>
      <c r="AB94" s="18">
        <v>10</v>
      </c>
      <c r="AC94" s="18">
        <f t="shared" si="53"/>
        <v>30</v>
      </c>
      <c r="AD94" s="18">
        <f t="shared" si="54"/>
        <v>57</v>
      </c>
      <c r="AE94" s="18">
        <f t="shared" si="55"/>
        <v>28.5</v>
      </c>
      <c r="AF94" s="18">
        <v>40</v>
      </c>
      <c r="AG94" s="18">
        <v>30</v>
      </c>
      <c r="AH94" s="18">
        <f t="shared" si="56"/>
        <v>70</v>
      </c>
      <c r="AI94" s="18">
        <v>48</v>
      </c>
      <c r="AJ94" s="18">
        <v>22</v>
      </c>
      <c r="AK94" s="18">
        <f t="shared" si="57"/>
        <v>70</v>
      </c>
      <c r="AL94" s="18">
        <f t="shared" si="58"/>
        <v>88</v>
      </c>
      <c r="AM94" s="18">
        <f t="shared" si="59"/>
        <v>44</v>
      </c>
      <c r="AN94" s="18">
        <f t="shared" si="60"/>
        <v>52</v>
      </c>
      <c r="AO94" s="18">
        <f t="shared" si="61"/>
        <v>26</v>
      </c>
      <c r="AP94" s="26">
        <v>79</v>
      </c>
      <c r="AQ94" s="29" t="s">
        <v>533</v>
      </c>
    </row>
    <row r="95" spans="1:43" s="20" customFormat="1" ht="15.75" customHeight="1">
      <c r="A95" s="23"/>
      <c r="B95" s="10" t="s">
        <v>1247</v>
      </c>
      <c r="C95" s="22" t="s">
        <v>388</v>
      </c>
      <c r="D95" s="23">
        <v>390</v>
      </c>
      <c r="E95" s="70" t="s">
        <v>604</v>
      </c>
      <c r="F95" s="28" t="s">
        <v>30</v>
      </c>
      <c r="G95" s="18" t="s">
        <v>357</v>
      </c>
      <c r="H95" s="36">
        <v>33</v>
      </c>
      <c r="I95" s="36">
        <v>35</v>
      </c>
      <c r="J95" s="36">
        <v>68</v>
      </c>
      <c r="K95" s="89">
        <v>34</v>
      </c>
      <c r="L95" s="90">
        <v>35</v>
      </c>
      <c r="M95" s="90">
        <v>35</v>
      </c>
      <c r="N95" s="90">
        <v>70</v>
      </c>
      <c r="O95" s="91">
        <v>35</v>
      </c>
      <c r="P95" s="90">
        <v>35</v>
      </c>
      <c r="Q95" s="90">
        <v>20</v>
      </c>
      <c r="R95" s="90">
        <v>55</v>
      </c>
      <c r="S95" s="91">
        <v>27.5</v>
      </c>
      <c r="T95" s="88"/>
      <c r="U95" s="86">
        <f t="shared" si="51"/>
        <v>96.5</v>
      </c>
      <c r="V95" s="18">
        <v>10</v>
      </c>
      <c r="W95" s="18">
        <v>18</v>
      </c>
      <c r="X95" s="18">
        <v>5</v>
      </c>
      <c r="Y95" s="18">
        <f t="shared" si="52"/>
        <v>33</v>
      </c>
      <c r="Z95" s="18">
        <v>5</v>
      </c>
      <c r="AA95" s="18">
        <v>15</v>
      </c>
      <c r="AB95" s="18">
        <v>15</v>
      </c>
      <c r="AC95" s="18">
        <f t="shared" si="53"/>
        <v>35</v>
      </c>
      <c r="AD95" s="18">
        <f t="shared" si="54"/>
        <v>68</v>
      </c>
      <c r="AE95" s="18">
        <f t="shared" si="55"/>
        <v>34</v>
      </c>
      <c r="AF95" s="18">
        <v>35</v>
      </c>
      <c r="AG95" s="18">
        <v>35</v>
      </c>
      <c r="AH95" s="18">
        <f t="shared" si="56"/>
        <v>70</v>
      </c>
      <c r="AI95" s="18">
        <v>35</v>
      </c>
      <c r="AJ95" s="18">
        <v>20</v>
      </c>
      <c r="AK95" s="18">
        <f t="shared" si="57"/>
        <v>55</v>
      </c>
      <c r="AL95" s="18">
        <f t="shared" si="58"/>
        <v>70</v>
      </c>
      <c r="AM95" s="18">
        <f t="shared" si="59"/>
        <v>35</v>
      </c>
      <c r="AN95" s="18">
        <f t="shared" si="60"/>
        <v>55</v>
      </c>
      <c r="AO95" s="18">
        <f t="shared" si="61"/>
        <v>27.5</v>
      </c>
      <c r="AP95" s="26">
        <v>87</v>
      </c>
      <c r="AQ95" s="9" t="s">
        <v>358</v>
      </c>
    </row>
    <row r="96" spans="1:43" s="20" customFormat="1" ht="15.75" customHeight="1">
      <c r="A96" s="23"/>
      <c r="B96" s="10" t="s">
        <v>582</v>
      </c>
      <c r="C96" s="22" t="s">
        <v>583</v>
      </c>
      <c r="D96" s="23">
        <v>416</v>
      </c>
      <c r="E96" s="70" t="s">
        <v>608</v>
      </c>
      <c r="F96" s="28" t="s">
        <v>30</v>
      </c>
      <c r="G96" s="18" t="s">
        <v>425</v>
      </c>
      <c r="H96" s="36">
        <v>15</v>
      </c>
      <c r="I96" s="36">
        <v>20</v>
      </c>
      <c r="J96" s="36">
        <v>35</v>
      </c>
      <c r="K96" s="89">
        <v>17.5</v>
      </c>
      <c r="L96" s="90">
        <v>40</v>
      </c>
      <c r="M96" s="90">
        <v>30</v>
      </c>
      <c r="N96" s="90">
        <v>70</v>
      </c>
      <c r="O96" s="91">
        <v>35</v>
      </c>
      <c r="P96" s="90">
        <v>35</v>
      </c>
      <c r="Q96" s="90">
        <v>50</v>
      </c>
      <c r="R96" s="90">
        <v>85</v>
      </c>
      <c r="S96" s="91">
        <v>42.5</v>
      </c>
      <c r="T96" s="88"/>
      <c r="U96" s="86">
        <f t="shared" si="51"/>
        <v>95</v>
      </c>
      <c r="V96" s="18">
        <v>5</v>
      </c>
      <c r="W96" s="18">
        <v>5</v>
      </c>
      <c r="X96" s="18">
        <v>5</v>
      </c>
      <c r="Y96" s="18">
        <f t="shared" si="52"/>
        <v>15</v>
      </c>
      <c r="Z96" s="18">
        <v>5</v>
      </c>
      <c r="AA96" s="18">
        <v>5</v>
      </c>
      <c r="AB96" s="18">
        <v>10</v>
      </c>
      <c r="AC96" s="18">
        <f t="shared" si="53"/>
        <v>20</v>
      </c>
      <c r="AD96" s="18">
        <f t="shared" si="54"/>
        <v>35</v>
      </c>
      <c r="AE96" s="18">
        <f t="shared" si="55"/>
        <v>17.5</v>
      </c>
      <c r="AF96" s="18">
        <v>40</v>
      </c>
      <c r="AG96" s="18">
        <v>35</v>
      </c>
      <c r="AH96" s="18">
        <f t="shared" si="56"/>
        <v>75</v>
      </c>
      <c r="AI96" s="18">
        <v>30</v>
      </c>
      <c r="AJ96" s="18">
        <v>50</v>
      </c>
      <c r="AK96" s="18">
        <f t="shared" si="57"/>
        <v>80</v>
      </c>
      <c r="AL96" s="18">
        <f t="shared" si="58"/>
        <v>70</v>
      </c>
      <c r="AM96" s="18">
        <f t="shared" si="59"/>
        <v>35</v>
      </c>
      <c r="AN96" s="18">
        <f t="shared" si="60"/>
        <v>85</v>
      </c>
      <c r="AO96" s="18">
        <f t="shared" si="61"/>
        <v>42.5</v>
      </c>
      <c r="AP96" s="26">
        <v>25</v>
      </c>
      <c r="AQ96" s="29" t="s">
        <v>426</v>
      </c>
    </row>
    <row r="97" spans="1:88" s="20" customFormat="1" ht="15.75" customHeight="1">
      <c r="A97" s="23"/>
      <c r="B97" s="10" t="s">
        <v>1250</v>
      </c>
      <c r="C97" s="22" t="s">
        <v>584</v>
      </c>
      <c r="D97" s="23">
        <v>111</v>
      </c>
      <c r="E97" s="70" t="s">
        <v>608</v>
      </c>
      <c r="F97" s="28" t="s">
        <v>30</v>
      </c>
      <c r="G97" s="18" t="s">
        <v>377</v>
      </c>
      <c r="H97" s="36">
        <v>49</v>
      </c>
      <c r="I97" s="36">
        <v>35</v>
      </c>
      <c r="J97" s="36">
        <v>84</v>
      </c>
      <c r="K97" s="89">
        <v>42</v>
      </c>
      <c r="L97" s="90">
        <v>25</v>
      </c>
      <c r="M97" s="90">
        <v>25</v>
      </c>
      <c r="N97" s="90">
        <v>50</v>
      </c>
      <c r="O97" s="91">
        <v>25</v>
      </c>
      <c r="P97" s="90">
        <v>25</v>
      </c>
      <c r="Q97" s="90">
        <v>25</v>
      </c>
      <c r="R97" s="90">
        <v>50</v>
      </c>
      <c r="S97" s="91">
        <v>25</v>
      </c>
      <c r="T97" s="88"/>
      <c r="U97" s="86">
        <f t="shared" si="51"/>
        <v>92</v>
      </c>
      <c r="V97" s="18">
        <v>29</v>
      </c>
      <c r="W97" s="18">
        <v>10</v>
      </c>
      <c r="X97" s="18">
        <v>10</v>
      </c>
      <c r="Y97" s="18">
        <f t="shared" si="52"/>
        <v>49</v>
      </c>
      <c r="Z97" s="18">
        <v>15</v>
      </c>
      <c r="AA97" s="18">
        <v>10</v>
      </c>
      <c r="AB97" s="18">
        <v>10</v>
      </c>
      <c r="AC97" s="18">
        <f t="shared" si="53"/>
        <v>35</v>
      </c>
      <c r="AD97" s="18">
        <f t="shared" si="54"/>
        <v>84</v>
      </c>
      <c r="AE97" s="18">
        <f t="shared" si="55"/>
        <v>42</v>
      </c>
      <c r="AF97" s="18">
        <v>25</v>
      </c>
      <c r="AG97" s="18">
        <v>25</v>
      </c>
      <c r="AH97" s="18">
        <f t="shared" si="56"/>
        <v>50</v>
      </c>
      <c r="AI97" s="18">
        <v>25</v>
      </c>
      <c r="AJ97" s="18">
        <v>25</v>
      </c>
      <c r="AK97" s="18">
        <f t="shared" si="57"/>
        <v>50</v>
      </c>
      <c r="AL97" s="18">
        <f t="shared" si="58"/>
        <v>50</v>
      </c>
      <c r="AM97" s="18">
        <f t="shared" si="59"/>
        <v>25</v>
      </c>
      <c r="AN97" s="18">
        <f t="shared" si="60"/>
        <v>50</v>
      </c>
      <c r="AO97" s="18">
        <f t="shared" si="61"/>
        <v>25</v>
      </c>
      <c r="AP97" s="26">
        <v>36</v>
      </c>
      <c r="AQ97" s="29" t="s">
        <v>533</v>
      </c>
    </row>
    <row r="98" spans="1:88" s="20" customFormat="1">
      <c r="A98" s="23"/>
      <c r="B98" s="10" t="s">
        <v>1248</v>
      </c>
      <c r="C98" s="22" t="s">
        <v>585</v>
      </c>
      <c r="D98" s="23">
        <v>57</v>
      </c>
      <c r="E98" s="70" t="s">
        <v>608</v>
      </c>
      <c r="F98" s="28" t="s">
        <v>30</v>
      </c>
      <c r="G98" s="18" t="s">
        <v>357</v>
      </c>
      <c r="H98" s="36">
        <v>32</v>
      </c>
      <c r="I98" s="36">
        <v>45</v>
      </c>
      <c r="J98" s="36">
        <v>77</v>
      </c>
      <c r="K98" s="89">
        <v>38.5</v>
      </c>
      <c r="L98" s="90">
        <v>25</v>
      </c>
      <c r="M98" s="90">
        <v>20</v>
      </c>
      <c r="N98" s="90">
        <v>45</v>
      </c>
      <c r="O98" s="91">
        <v>22.5</v>
      </c>
      <c r="P98" s="90">
        <v>30</v>
      </c>
      <c r="Q98" s="90">
        <v>30</v>
      </c>
      <c r="R98" s="90">
        <v>60</v>
      </c>
      <c r="S98" s="91">
        <v>30</v>
      </c>
      <c r="T98" s="88"/>
      <c r="U98" s="86">
        <f t="shared" si="51"/>
        <v>91</v>
      </c>
      <c r="V98" s="18">
        <v>12</v>
      </c>
      <c r="W98" s="18">
        <v>15</v>
      </c>
      <c r="X98" s="18">
        <v>5</v>
      </c>
      <c r="Y98" s="18">
        <f t="shared" si="52"/>
        <v>32</v>
      </c>
      <c r="Z98" s="18">
        <v>20</v>
      </c>
      <c r="AA98" s="18">
        <v>20</v>
      </c>
      <c r="AB98" s="18">
        <v>5</v>
      </c>
      <c r="AC98" s="18">
        <f t="shared" si="53"/>
        <v>45</v>
      </c>
      <c r="AD98" s="18">
        <f t="shared" si="54"/>
        <v>77</v>
      </c>
      <c r="AE98" s="18">
        <f t="shared" si="55"/>
        <v>38.5</v>
      </c>
      <c r="AF98" s="18">
        <v>25</v>
      </c>
      <c r="AG98" s="18">
        <v>30</v>
      </c>
      <c r="AH98" s="18">
        <f t="shared" si="56"/>
        <v>55</v>
      </c>
      <c r="AI98" s="18">
        <v>20</v>
      </c>
      <c r="AJ98" s="18">
        <v>30</v>
      </c>
      <c r="AK98" s="18">
        <f t="shared" si="57"/>
        <v>50</v>
      </c>
      <c r="AL98" s="18">
        <f t="shared" si="58"/>
        <v>45</v>
      </c>
      <c r="AM98" s="18">
        <f t="shared" si="59"/>
        <v>22.5</v>
      </c>
      <c r="AN98" s="18">
        <f t="shared" si="60"/>
        <v>60</v>
      </c>
      <c r="AO98" s="18">
        <f t="shared" si="61"/>
        <v>30</v>
      </c>
      <c r="AP98" s="26">
        <v>51</v>
      </c>
      <c r="AQ98" s="29" t="s">
        <v>358</v>
      </c>
    </row>
    <row r="99" spans="1:88" s="20" customFormat="1" ht="15.75" customHeight="1">
      <c r="A99" s="23"/>
      <c r="B99" s="10" t="s">
        <v>1249</v>
      </c>
      <c r="C99" s="22" t="s">
        <v>586</v>
      </c>
      <c r="D99" s="23">
        <v>462</v>
      </c>
      <c r="E99" s="70" t="s">
        <v>608</v>
      </c>
      <c r="F99" s="28" t="s">
        <v>30</v>
      </c>
      <c r="G99" s="18" t="s">
        <v>418</v>
      </c>
      <c r="H99" s="36">
        <v>32</v>
      </c>
      <c r="I99" s="36">
        <v>30</v>
      </c>
      <c r="J99" s="36">
        <v>62</v>
      </c>
      <c r="K99" s="89">
        <v>31</v>
      </c>
      <c r="L99" s="90">
        <v>40</v>
      </c>
      <c r="M99" s="90">
        <v>22</v>
      </c>
      <c r="N99" s="90">
        <v>62</v>
      </c>
      <c r="O99" s="91">
        <v>31</v>
      </c>
      <c r="P99" s="90">
        <v>30</v>
      </c>
      <c r="Q99" s="90">
        <v>25</v>
      </c>
      <c r="R99" s="90">
        <v>55</v>
      </c>
      <c r="S99" s="91">
        <v>27.5</v>
      </c>
      <c r="T99" s="88"/>
      <c r="U99" s="86">
        <f t="shared" si="51"/>
        <v>89.5</v>
      </c>
      <c r="V99" s="18">
        <v>12</v>
      </c>
      <c r="W99" s="18">
        <v>15</v>
      </c>
      <c r="X99" s="18">
        <v>5</v>
      </c>
      <c r="Y99" s="18">
        <f t="shared" si="52"/>
        <v>32</v>
      </c>
      <c r="Z99" s="18">
        <v>15</v>
      </c>
      <c r="AA99" s="18">
        <v>10</v>
      </c>
      <c r="AB99" s="18">
        <v>5</v>
      </c>
      <c r="AC99" s="18">
        <f t="shared" si="53"/>
        <v>30</v>
      </c>
      <c r="AD99" s="18">
        <f t="shared" si="54"/>
        <v>62</v>
      </c>
      <c r="AE99" s="18">
        <f t="shared" si="55"/>
        <v>31</v>
      </c>
      <c r="AF99" s="18">
        <v>40</v>
      </c>
      <c r="AG99" s="18">
        <v>30</v>
      </c>
      <c r="AH99" s="18">
        <f t="shared" si="56"/>
        <v>70</v>
      </c>
      <c r="AI99" s="18">
        <v>22</v>
      </c>
      <c r="AJ99" s="18">
        <v>25</v>
      </c>
      <c r="AK99" s="18">
        <f t="shared" si="57"/>
        <v>47</v>
      </c>
      <c r="AL99" s="18">
        <f t="shared" si="58"/>
        <v>62</v>
      </c>
      <c r="AM99" s="18">
        <f t="shared" si="59"/>
        <v>31</v>
      </c>
      <c r="AN99" s="18">
        <f t="shared" si="60"/>
        <v>55</v>
      </c>
      <c r="AO99" s="18">
        <f t="shared" si="61"/>
        <v>27.5</v>
      </c>
      <c r="AP99" s="26">
        <v>11</v>
      </c>
      <c r="AQ99" s="29" t="s">
        <v>471</v>
      </c>
    </row>
    <row r="100" spans="1:88" s="20" customFormat="1">
      <c r="A100" s="23"/>
      <c r="B100" s="10" t="s">
        <v>587</v>
      </c>
      <c r="C100" s="22" t="s">
        <v>588</v>
      </c>
      <c r="D100" s="23">
        <v>150</v>
      </c>
      <c r="E100" s="70" t="s">
        <v>608</v>
      </c>
      <c r="F100" s="28" t="s">
        <v>28</v>
      </c>
      <c r="G100" s="18" t="s">
        <v>329</v>
      </c>
      <c r="H100" s="36">
        <v>25</v>
      </c>
      <c r="I100" s="36">
        <v>15</v>
      </c>
      <c r="J100" s="36">
        <v>40</v>
      </c>
      <c r="K100" s="89">
        <v>20</v>
      </c>
      <c r="L100" s="90"/>
      <c r="M100" s="90"/>
      <c r="N100" s="90">
        <v>0</v>
      </c>
      <c r="O100" s="91">
        <v>40</v>
      </c>
      <c r="P100" s="90"/>
      <c r="Q100" s="90"/>
      <c r="R100" s="90">
        <v>0</v>
      </c>
      <c r="S100" s="91">
        <v>35</v>
      </c>
      <c r="T100" s="88"/>
      <c r="U100" s="86">
        <f>SUM(K100,O100,S100)</f>
        <v>95</v>
      </c>
      <c r="V100" s="18">
        <v>5</v>
      </c>
      <c r="W100" s="18">
        <v>10</v>
      </c>
      <c r="X100" s="18">
        <v>10</v>
      </c>
      <c r="Y100" s="18">
        <f>SUM(V100:X100)</f>
        <v>25</v>
      </c>
      <c r="Z100" s="18">
        <v>5</v>
      </c>
      <c r="AA100" s="18">
        <v>5</v>
      </c>
      <c r="AB100" s="18">
        <v>5</v>
      </c>
      <c r="AC100" s="18">
        <f>SUM(Z100:AB100)</f>
        <v>15</v>
      </c>
      <c r="AD100" s="18">
        <f>SUM(Y100,AC100)</f>
        <v>40</v>
      </c>
      <c r="AE100" s="18">
        <f>AD100/2</f>
        <v>20</v>
      </c>
      <c r="AF100" s="18"/>
      <c r="AG100" s="18"/>
      <c r="AH100" s="18"/>
      <c r="AI100" s="18"/>
      <c r="AJ100" s="18"/>
      <c r="AK100" s="18"/>
      <c r="AL100" s="18">
        <f>SUM(AF100,AI100)</f>
        <v>0</v>
      </c>
      <c r="AM100" s="18">
        <f>AL100/2</f>
        <v>0</v>
      </c>
      <c r="AN100" s="18">
        <f>SUM(AG100,AJ100)</f>
        <v>0</v>
      </c>
      <c r="AO100" s="18">
        <f>AN100/2</f>
        <v>0</v>
      </c>
      <c r="AP100" s="26">
        <v>32</v>
      </c>
      <c r="AQ100" s="32" t="s">
        <v>589</v>
      </c>
    </row>
    <row r="101" spans="1:88" s="20" customFormat="1" ht="15.75" customHeight="1">
      <c r="A101" s="23"/>
      <c r="B101" s="10" t="s">
        <v>590</v>
      </c>
      <c r="C101" s="22" t="s">
        <v>591</v>
      </c>
      <c r="D101" s="23">
        <v>26</v>
      </c>
      <c r="E101" s="70" t="s">
        <v>605</v>
      </c>
      <c r="F101" s="12" t="s">
        <v>341</v>
      </c>
      <c r="G101" s="26" t="s">
        <v>329</v>
      </c>
      <c r="H101" s="62"/>
      <c r="I101" s="62"/>
      <c r="J101" s="62">
        <v>0</v>
      </c>
      <c r="K101" s="89">
        <v>40</v>
      </c>
      <c r="L101" s="90"/>
      <c r="M101" s="90"/>
      <c r="N101" s="90">
        <v>0</v>
      </c>
      <c r="O101" s="91">
        <v>38</v>
      </c>
      <c r="P101" s="90"/>
      <c r="Q101" s="90"/>
      <c r="R101" s="90">
        <v>0</v>
      </c>
      <c r="S101" s="91">
        <v>40</v>
      </c>
      <c r="T101" s="88"/>
      <c r="U101" s="86">
        <f>SUM(K101,O101,S101)</f>
        <v>118</v>
      </c>
      <c r="V101" s="18"/>
      <c r="W101" s="18"/>
      <c r="X101" s="18"/>
      <c r="Y101" s="18"/>
      <c r="Z101" s="18"/>
      <c r="AA101" s="18"/>
      <c r="AB101" s="18"/>
      <c r="AC101" s="18"/>
      <c r="AD101" s="18">
        <f>SUM(Y101,AC101)</f>
        <v>0</v>
      </c>
      <c r="AE101" s="18">
        <f>AD101/2</f>
        <v>0</v>
      </c>
      <c r="AF101" s="18"/>
      <c r="AG101" s="18"/>
      <c r="AH101" s="18"/>
      <c r="AI101" s="18"/>
      <c r="AJ101" s="18"/>
      <c r="AK101" s="18"/>
      <c r="AL101" s="18">
        <f>SUM(AF101,AI101)</f>
        <v>0</v>
      </c>
      <c r="AM101" s="18">
        <f>AL101/2</f>
        <v>0</v>
      </c>
      <c r="AN101" s="18">
        <f>SUM(AG101,AJ101)</f>
        <v>0</v>
      </c>
      <c r="AO101" s="18">
        <f>AN101/2</f>
        <v>0</v>
      </c>
      <c r="AP101" s="26">
        <v>3</v>
      </c>
      <c r="AQ101" s="29" t="s">
        <v>592</v>
      </c>
    </row>
    <row r="102" spans="1:88" s="20" customFormat="1">
      <c r="E102" s="67"/>
      <c r="F102" s="45"/>
      <c r="G102" s="46"/>
      <c r="H102" s="64"/>
      <c r="I102" s="64"/>
      <c r="J102" s="64"/>
      <c r="K102" s="46"/>
      <c r="L102" s="64"/>
      <c r="M102" s="64"/>
      <c r="N102" s="64"/>
      <c r="O102" s="46"/>
      <c r="P102" s="64"/>
      <c r="Q102" s="64"/>
      <c r="R102" s="64"/>
      <c r="S102" s="46"/>
      <c r="T102" s="14"/>
      <c r="U102" s="46"/>
      <c r="V102" s="47"/>
      <c r="W102" s="47"/>
      <c r="X102" s="47"/>
      <c r="Y102" s="47"/>
      <c r="Z102" s="47"/>
      <c r="AA102" s="47"/>
      <c r="AB102" s="47"/>
      <c r="AC102" s="47"/>
      <c r="AD102" s="18"/>
      <c r="AE102" s="18"/>
      <c r="AF102" s="47"/>
      <c r="AG102" s="47"/>
      <c r="AH102" s="47"/>
      <c r="AI102" s="47"/>
      <c r="AJ102" s="47"/>
      <c r="AK102" s="48"/>
      <c r="AP102" s="47"/>
      <c r="AQ102" s="49"/>
    </row>
    <row r="103" spans="1:88" s="80" customFormat="1" ht="15.75" customHeight="1">
      <c r="A103" s="79"/>
      <c r="H103" s="20"/>
      <c r="I103" s="20"/>
      <c r="J103" s="20"/>
      <c r="K103" s="92"/>
      <c r="L103" s="93"/>
      <c r="M103" s="93"/>
      <c r="N103" s="93"/>
      <c r="O103" s="92"/>
      <c r="P103" s="93"/>
      <c r="Q103" s="93"/>
      <c r="R103" s="93"/>
      <c r="S103" s="92"/>
      <c r="T103" s="93"/>
      <c r="U103" s="92"/>
      <c r="BL103" s="82"/>
      <c r="BM103" s="82"/>
      <c r="BN103" s="83">
        <f>SUM(K46,O46,S46)</f>
        <v>120.5</v>
      </c>
      <c r="BO103" s="81">
        <v>12</v>
      </c>
      <c r="BP103" s="81">
        <v>10</v>
      </c>
      <c r="BQ103" s="81">
        <v>15</v>
      </c>
      <c r="BR103" s="81">
        <f>SUM(BO103:BQ103)</f>
        <v>37</v>
      </c>
      <c r="BS103" s="81">
        <v>15</v>
      </c>
      <c r="BT103" s="81">
        <v>30</v>
      </c>
      <c r="BU103" s="81">
        <v>20</v>
      </c>
      <c r="BV103" s="81">
        <f>SUM(BS103:BU103)</f>
        <v>65</v>
      </c>
      <c r="BW103" s="81">
        <f>SUM(BR103,BV103)</f>
        <v>102</v>
      </c>
      <c r="BX103" s="81">
        <f>BW103/2</f>
        <v>51</v>
      </c>
      <c r="BY103" s="81">
        <v>40</v>
      </c>
      <c r="BZ103" s="81">
        <v>50</v>
      </c>
      <c r="CA103" s="81">
        <f>SUM(BY103:BZ103)</f>
        <v>90</v>
      </c>
      <c r="CB103" s="81">
        <v>24</v>
      </c>
      <c r="CC103" s="81">
        <v>25</v>
      </c>
      <c r="CD103" s="81">
        <f>SUM(CB103:CC103)</f>
        <v>49</v>
      </c>
      <c r="CE103" s="81">
        <f>SUM(BY103,CB103)</f>
        <v>64</v>
      </c>
      <c r="CF103" s="81">
        <f>CE103/2</f>
        <v>32</v>
      </c>
      <c r="CG103" s="81">
        <f>SUM(BZ103,CC103)</f>
        <v>75</v>
      </c>
      <c r="CH103" s="81">
        <f>CG103/2</f>
        <v>37.5</v>
      </c>
      <c r="CI103" s="84">
        <v>22</v>
      </c>
      <c r="CJ103" s="85" t="s">
        <v>398</v>
      </c>
    </row>
    <row r="104" spans="1:88">
      <c r="B104" s="51"/>
      <c r="C104" s="51"/>
      <c r="E104" s="68"/>
      <c r="F104" s="52"/>
      <c r="G104" s="53"/>
      <c r="H104" s="65"/>
      <c r="I104" s="65"/>
      <c r="J104" s="65"/>
      <c r="K104" s="53"/>
      <c r="L104" s="65"/>
      <c r="M104" s="65"/>
      <c r="N104" s="65"/>
      <c r="O104" s="53"/>
      <c r="P104" s="65"/>
      <c r="Q104" s="65"/>
      <c r="R104" s="65"/>
      <c r="S104" s="53"/>
      <c r="U104" s="53"/>
      <c r="V104" s="54"/>
      <c r="W104" s="54"/>
      <c r="Z104" s="54"/>
      <c r="AA104" s="54"/>
      <c r="AF104" s="54"/>
      <c r="AG104" s="54"/>
      <c r="AI104" s="54"/>
      <c r="AJ104" s="54"/>
    </row>
    <row r="105" spans="1:88">
      <c r="B105" s="51"/>
      <c r="C105" s="51"/>
      <c r="E105" s="68"/>
      <c r="F105" s="52"/>
      <c r="G105" s="53"/>
      <c r="H105" s="65"/>
      <c r="I105" s="65"/>
      <c r="J105" s="65"/>
      <c r="K105" s="53"/>
      <c r="L105" s="65"/>
      <c r="M105" s="65"/>
      <c r="N105" s="65"/>
      <c r="O105" s="53"/>
      <c r="P105" s="65"/>
      <c r="Q105" s="65"/>
      <c r="R105" s="65"/>
      <c r="S105" s="53"/>
      <c r="U105" s="53"/>
      <c r="V105" s="54"/>
      <c r="W105" s="54"/>
      <c r="Z105" s="54"/>
      <c r="AA105" s="54"/>
      <c r="AF105" s="54"/>
      <c r="AG105" s="54"/>
      <c r="AI105" s="54"/>
      <c r="AJ105" s="54"/>
    </row>
  </sheetData>
  <conditionalFormatting sqref="K2:K101">
    <cfRule type="cellIs" dxfId="5" priority="1" operator="lessThan">
      <formula>50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Z130"/>
  <sheetViews>
    <sheetView topLeftCell="A16" zoomScale="90" zoomScaleNormal="90" workbookViewId="0">
      <selection activeCell="C27" sqref="C27"/>
    </sheetView>
  </sheetViews>
  <sheetFormatPr defaultRowHeight="19.5"/>
  <cols>
    <col min="1" max="1" width="5.125" style="142" customWidth="1"/>
    <col min="2" max="2" width="22.5" style="68" customWidth="1"/>
    <col min="3" max="3" width="16" style="142" customWidth="1"/>
    <col min="4" max="4" width="5" style="142" customWidth="1"/>
    <col min="5" max="5" width="9.875" style="142" customWidth="1"/>
    <col min="6" max="6" width="8.75" style="142" customWidth="1"/>
    <col min="7" max="12" width="9" style="142" customWidth="1"/>
    <col min="14" max="23" width="9" style="142" hidden="1" customWidth="1"/>
    <col min="24" max="24" width="9" style="142" customWidth="1"/>
    <col min="25" max="27" width="9" style="153" customWidth="1"/>
    <col min="28" max="28" width="23.5" style="153" customWidth="1"/>
    <col min="29" max="31" width="9" style="154" customWidth="1"/>
    <col min="32" max="32" width="25.25" style="154" customWidth="1"/>
    <col min="33" max="35" width="9" style="142" customWidth="1"/>
    <col min="36" max="36" width="18.875" style="153" customWidth="1"/>
    <col min="37" max="38" width="9" style="142" customWidth="1"/>
    <col min="39" max="39" width="8" style="142" customWidth="1"/>
    <col min="40" max="40" width="17" style="142" customWidth="1"/>
    <col min="41" max="41" width="9" style="142"/>
    <col min="42" max="42" width="27.25" style="142" customWidth="1"/>
    <col min="43" max="16384" width="9" style="142"/>
  </cols>
  <sheetData>
    <row r="1" spans="1:52" s="159" customFormat="1" ht="39.75" customHeight="1">
      <c r="A1" s="164" t="s">
        <v>0</v>
      </c>
      <c r="B1" s="155" t="s">
        <v>1</v>
      </c>
      <c r="C1" s="160" t="s">
        <v>2</v>
      </c>
      <c r="D1" s="165" t="s">
        <v>3</v>
      </c>
      <c r="E1" s="171" t="s">
        <v>8</v>
      </c>
      <c r="F1" s="99" t="s">
        <v>9</v>
      </c>
      <c r="G1" s="156" t="s">
        <v>10</v>
      </c>
      <c r="H1" s="156" t="s">
        <v>11</v>
      </c>
      <c r="I1" s="156" t="s">
        <v>12</v>
      </c>
      <c r="J1" s="156" t="s">
        <v>6</v>
      </c>
      <c r="K1" s="156" t="s">
        <v>13</v>
      </c>
      <c r="L1" s="156" t="s">
        <v>7</v>
      </c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99" t="s">
        <v>346</v>
      </c>
      <c r="Z1" s="99" t="s">
        <v>347</v>
      </c>
      <c r="AA1" s="99" t="s">
        <v>348</v>
      </c>
      <c r="AB1" s="99" t="s">
        <v>858</v>
      </c>
      <c r="AC1" s="99" t="s">
        <v>346</v>
      </c>
      <c r="AD1" s="99" t="s">
        <v>347</v>
      </c>
      <c r="AE1" s="99" t="s">
        <v>348</v>
      </c>
      <c r="AF1" s="99" t="s">
        <v>11</v>
      </c>
      <c r="AG1" s="99" t="s">
        <v>346</v>
      </c>
      <c r="AH1" s="99" t="s">
        <v>347</v>
      </c>
      <c r="AI1" s="99" t="s">
        <v>348</v>
      </c>
      <c r="AJ1" s="99" t="s">
        <v>12</v>
      </c>
      <c r="AK1" s="157"/>
      <c r="AL1" s="158"/>
      <c r="AM1" s="99" t="s">
        <v>1284</v>
      </c>
      <c r="AN1" s="99" t="s">
        <v>1285</v>
      </c>
    </row>
    <row r="2" spans="1:52" ht="19.5" customHeight="1">
      <c r="A2" s="143">
        <v>58</v>
      </c>
      <c r="B2" s="144" t="s">
        <v>696</v>
      </c>
      <c r="C2" s="151" t="s">
        <v>697</v>
      </c>
      <c r="D2" s="166">
        <v>166</v>
      </c>
      <c r="E2" s="116" t="s">
        <v>19</v>
      </c>
      <c r="F2" s="144" t="s">
        <v>852</v>
      </c>
      <c r="G2" s="145">
        <v>91</v>
      </c>
      <c r="H2" s="145">
        <v>95</v>
      </c>
      <c r="I2" s="145">
        <v>93</v>
      </c>
      <c r="J2" s="146">
        <v>98</v>
      </c>
      <c r="K2" s="146">
        <v>99</v>
      </c>
      <c r="L2" s="146">
        <v>90</v>
      </c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>
        <f t="shared" ref="X2:X34" si="0">SUM(G2:L2)</f>
        <v>566</v>
      </c>
      <c r="Y2" s="141">
        <v>30</v>
      </c>
      <c r="Z2" s="141">
        <v>31</v>
      </c>
      <c r="AA2" s="141">
        <v>30</v>
      </c>
      <c r="AB2" s="141">
        <f t="shared" ref="AB2:AB34" si="1">SUM(Y2:AA2)</f>
        <v>91</v>
      </c>
      <c r="AC2" s="141">
        <v>33</v>
      </c>
      <c r="AD2" s="141">
        <v>32</v>
      </c>
      <c r="AE2" s="141">
        <v>30</v>
      </c>
      <c r="AF2" s="141">
        <f t="shared" ref="AF2:AF34" si="2">SUM(AC2:AE2)</f>
        <v>95</v>
      </c>
      <c r="AG2" s="141">
        <v>32</v>
      </c>
      <c r="AH2" s="141">
        <v>31</v>
      </c>
      <c r="AI2" s="141">
        <v>30</v>
      </c>
      <c r="AJ2" s="145">
        <f t="shared" ref="AJ2:AJ34" si="3">SUM(AG2:AI2)</f>
        <v>93</v>
      </c>
      <c r="AK2" s="140"/>
      <c r="AM2" s="140"/>
      <c r="AN2" s="140"/>
    </row>
    <row r="3" spans="1:52">
      <c r="A3" s="143">
        <v>39</v>
      </c>
      <c r="B3" s="144" t="s">
        <v>580</v>
      </c>
      <c r="C3" s="161" t="s">
        <v>666</v>
      </c>
      <c r="D3" s="166">
        <v>100</v>
      </c>
      <c r="E3" s="116" t="s">
        <v>16</v>
      </c>
      <c r="F3" s="144" t="s">
        <v>856</v>
      </c>
      <c r="G3" s="145">
        <v>82</v>
      </c>
      <c r="H3" s="145">
        <v>95</v>
      </c>
      <c r="I3" s="145">
        <v>92</v>
      </c>
      <c r="J3" s="146">
        <v>99</v>
      </c>
      <c r="K3" s="146">
        <v>96</v>
      </c>
      <c r="L3" s="146">
        <v>100</v>
      </c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>
        <f t="shared" si="0"/>
        <v>564</v>
      </c>
      <c r="Y3" s="141">
        <v>30</v>
      </c>
      <c r="Z3" s="141">
        <v>30</v>
      </c>
      <c r="AA3" s="141">
        <v>30</v>
      </c>
      <c r="AB3" s="141">
        <f t="shared" si="1"/>
        <v>90</v>
      </c>
      <c r="AC3" s="141">
        <v>30</v>
      </c>
      <c r="AD3" s="141">
        <v>30</v>
      </c>
      <c r="AE3" s="141">
        <v>33</v>
      </c>
      <c r="AF3" s="141">
        <f t="shared" si="2"/>
        <v>93</v>
      </c>
      <c r="AG3" s="141">
        <v>30</v>
      </c>
      <c r="AH3" s="141">
        <v>30</v>
      </c>
      <c r="AI3" s="141">
        <v>32</v>
      </c>
      <c r="AJ3" s="145">
        <f t="shared" si="3"/>
        <v>92</v>
      </c>
      <c r="AK3" s="140"/>
      <c r="AM3" s="140"/>
      <c r="AN3" s="140"/>
    </row>
    <row r="4" spans="1:52">
      <c r="A4" s="143">
        <v>95</v>
      </c>
      <c r="B4" s="144" t="s">
        <v>754</v>
      </c>
      <c r="C4" s="151" t="s">
        <v>755</v>
      </c>
      <c r="D4" s="166">
        <v>429</v>
      </c>
      <c r="E4" s="116" t="s">
        <v>20</v>
      </c>
      <c r="F4" s="144" t="s">
        <v>856</v>
      </c>
      <c r="G4" s="145">
        <v>88</v>
      </c>
      <c r="H4" s="147">
        <v>90</v>
      </c>
      <c r="I4" s="145">
        <v>90</v>
      </c>
      <c r="J4" s="146">
        <v>99</v>
      </c>
      <c r="K4" s="146">
        <v>92</v>
      </c>
      <c r="L4" s="146">
        <v>97</v>
      </c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>
        <f t="shared" si="0"/>
        <v>556</v>
      </c>
      <c r="Y4" s="141">
        <v>27</v>
      </c>
      <c r="Z4" s="141">
        <v>28</v>
      </c>
      <c r="AA4" s="141">
        <v>27</v>
      </c>
      <c r="AB4" s="141">
        <f t="shared" si="1"/>
        <v>82</v>
      </c>
      <c r="AC4" s="141">
        <v>28</v>
      </c>
      <c r="AD4" s="141">
        <v>33</v>
      </c>
      <c r="AE4" s="141">
        <v>34</v>
      </c>
      <c r="AF4" s="141">
        <f t="shared" si="2"/>
        <v>95</v>
      </c>
      <c r="AG4" s="145">
        <v>32</v>
      </c>
      <c r="AH4" s="145">
        <v>30</v>
      </c>
      <c r="AI4" s="145">
        <v>30</v>
      </c>
      <c r="AJ4" s="145">
        <f t="shared" si="3"/>
        <v>92</v>
      </c>
      <c r="AK4" s="140"/>
      <c r="AM4" s="140"/>
      <c r="AN4" s="140"/>
    </row>
    <row r="5" spans="1:52" s="186" customFormat="1">
      <c r="A5" s="177">
        <v>121</v>
      </c>
      <c r="M5" s="183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>
        <f>SUM(AU5:AZ5)</f>
        <v>556</v>
      </c>
      <c r="Y5" s="184">
        <v>30</v>
      </c>
      <c r="Z5" s="184">
        <v>30</v>
      </c>
      <c r="AA5" s="184">
        <v>30</v>
      </c>
      <c r="AB5" s="184">
        <f t="shared" si="1"/>
        <v>90</v>
      </c>
      <c r="AC5" s="184">
        <v>30</v>
      </c>
      <c r="AD5" s="184">
        <v>30</v>
      </c>
      <c r="AE5" s="184">
        <v>33</v>
      </c>
      <c r="AF5" s="184">
        <f t="shared" si="2"/>
        <v>93</v>
      </c>
      <c r="AG5" s="184">
        <v>30</v>
      </c>
      <c r="AH5" s="184">
        <v>30</v>
      </c>
      <c r="AI5" s="184">
        <v>28</v>
      </c>
      <c r="AJ5" s="182">
        <f t="shared" si="3"/>
        <v>88</v>
      </c>
      <c r="AK5" s="185"/>
      <c r="AM5" s="185"/>
      <c r="AN5" s="185"/>
      <c r="AP5" s="191" t="s">
        <v>787</v>
      </c>
      <c r="AQ5" s="181" t="s">
        <v>788</v>
      </c>
      <c r="AR5" s="187">
        <v>20</v>
      </c>
      <c r="AS5" s="181" t="s">
        <v>18</v>
      </c>
      <c r="AT5" s="191" t="s">
        <v>857</v>
      </c>
      <c r="AU5" s="182">
        <v>90</v>
      </c>
      <c r="AV5" s="193">
        <v>93</v>
      </c>
      <c r="AW5" s="182">
        <v>92</v>
      </c>
      <c r="AX5" s="182">
        <v>98</v>
      </c>
      <c r="AY5" s="182">
        <v>96</v>
      </c>
      <c r="AZ5" s="182">
        <v>87</v>
      </c>
    </row>
    <row r="6" spans="1:52" s="186" customFormat="1" ht="19.5" customHeight="1">
      <c r="A6" s="177">
        <v>117</v>
      </c>
      <c r="B6" s="195" t="s">
        <v>782</v>
      </c>
      <c r="C6" s="188" t="s">
        <v>783</v>
      </c>
      <c r="D6" s="187">
        <v>134</v>
      </c>
      <c r="E6" s="181" t="s">
        <v>18</v>
      </c>
      <c r="F6" s="178" t="s">
        <v>853</v>
      </c>
      <c r="G6" s="182">
        <v>80</v>
      </c>
      <c r="H6" s="193">
        <v>90</v>
      </c>
      <c r="I6" s="182">
        <v>87</v>
      </c>
      <c r="J6" s="182">
        <v>98</v>
      </c>
      <c r="K6" s="182">
        <v>99</v>
      </c>
      <c r="L6" s="182">
        <v>100</v>
      </c>
      <c r="M6" s="183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>
        <f>SUM(G6:L6)</f>
        <v>554</v>
      </c>
      <c r="Y6" s="184">
        <v>30</v>
      </c>
      <c r="Z6" s="184">
        <v>30</v>
      </c>
      <c r="AA6" s="184">
        <v>28</v>
      </c>
      <c r="AB6" s="184">
        <f t="shared" si="1"/>
        <v>88</v>
      </c>
      <c r="AC6" s="184">
        <v>30</v>
      </c>
      <c r="AD6" s="184">
        <v>30</v>
      </c>
      <c r="AE6" s="184">
        <v>30</v>
      </c>
      <c r="AF6" s="184">
        <f t="shared" si="2"/>
        <v>90</v>
      </c>
      <c r="AG6" s="184">
        <v>30</v>
      </c>
      <c r="AH6" s="184">
        <v>30</v>
      </c>
      <c r="AI6" s="184">
        <v>30</v>
      </c>
      <c r="AJ6" s="182">
        <f t="shared" si="3"/>
        <v>90</v>
      </c>
      <c r="AK6" s="185"/>
      <c r="AM6" s="185"/>
      <c r="AN6" s="185"/>
    </row>
    <row r="7" spans="1:52">
      <c r="A7" s="143">
        <v>97</v>
      </c>
      <c r="B7" s="144" t="s">
        <v>757</v>
      </c>
      <c r="C7" s="151" t="s">
        <v>758</v>
      </c>
      <c r="D7" s="166">
        <v>437</v>
      </c>
      <c r="E7" s="116" t="s">
        <v>20</v>
      </c>
      <c r="F7" s="144" t="s">
        <v>852</v>
      </c>
      <c r="G7" s="145">
        <v>90</v>
      </c>
      <c r="H7" s="147">
        <v>93</v>
      </c>
      <c r="I7" s="145">
        <v>88</v>
      </c>
      <c r="J7" s="146">
        <v>98</v>
      </c>
      <c r="K7" s="146">
        <v>91</v>
      </c>
      <c r="L7" s="146">
        <v>88</v>
      </c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>
        <f t="shared" si="0"/>
        <v>548</v>
      </c>
      <c r="Y7" s="141">
        <v>30</v>
      </c>
      <c r="Z7" s="141">
        <v>25</v>
      </c>
      <c r="AA7" s="141">
        <v>25</v>
      </c>
      <c r="AB7" s="141">
        <f t="shared" si="1"/>
        <v>80</v>
      </c>
      <c r="AC7" s="141">
        <v>30</v>
      </c>
      <c r="AD7" s="141">
        <v>30</v>
      </c>
      <c r="AE7" s="141">
        <v>30</v>
      </c>
      <c r="AF7" s="141">
        <f t="shared" si="2"/>
        <v>90</v>
      </c>
      <c r="AG7" s="141">
        <v>30</v>
      </c>
      <c r="AH7" s="141">
        <v>30</v>
      </c>
      <c r="AI7" s="141">
        <v>27</v>
      </c>
      <c r="AJ7" s="145">
        <f t="shared" si="3"/>
        <v>87</v>
      </c>
      <c r="AK7" s="140"/>
      <c r="AM7" s="140"/>
      <c r="AN7" s="140"/>
    </row>
    <row r="8" spans="1:52" ht="19.5" customHeight="1">
      <c r="A8" s="143">
        <v>65</v>
      </c>
      <c r="B8" s="144" t="s">
        <v>708</v>
      </c>
      <c r="C8" s="151" t="s">
        <v>709</v>
      </c>
      <c r="D8" s="167">
        <v>383</v>
      </c>
      <c r="E8" s="116" t="s">
        <v>14</v>
      </c>
      <c r="F8" s="144" t="s">
        <v>856</v>
      </c>
      <c r="G8" s="145">
        <v>80</v>
      </c>
      <c r="H8" s="145">
        <v>90</v>
      </c>
      <c r="I8" s="145">
        <v>91</v>
      </c>
      <c r="J8" s="146">
        <v>99</v>
      </c>
      <c r="K8" s="146">
        <v>85</v>
      </c>
      <c r="L8" s="146">
        <v>97</v>
      </c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>
        <f t="shared" si="0"/>
        <v>542</v>
      </c>
      <c r="Y8" s="141">
        <v>23</v>
      </c>
      <c r="Z8" s="141">
        <v>27</v>
      </c>
      <c r="AA8" s="141">
        <v>30</v>
      </c>
      <c r="AB8" s="141">
        <f t="shared" si="1"/>
        <v>80</v>
      </c>
      <c r="AC8" s="141">
        <v>33</v>
      </c>
      <c r="AD8" s="141">
        <v>33</v>
      </c>
      <c r="AE8" s="141">
        <v>32</v>
      </c>
      <c r="AF8" s="141">
        <f t="shared" si="2"/>
        <v>98</v>
      </c>
      <c r="AG8" s="141">
        <v>30</v>
      </c>
      <c r="AH8" s="141">
        <v>31</v>
      </c>
      <c r="AI8" s="141">
        <v>31</v>
      </c>
      <c r="AJ8" s="145">
        <f t="shared" si="3"/>
        <v>92</v>
      </c>
      <c r="AK8" s="140"/>
      <c r="AM8" s="140"/>
      <c r="AN8" s="140"/>
    </row>
    <row r="9" spans="1:52" ht="19.5" customHeight="1">
      <c r="A9" s="143">
        <v>57</v>
      </c>
      <c r="B9" s="144" t="s">
        <v>503</v>
      </c>
      <c r="C9" s="151" t="s">
        <v>695</v>
      </c>
      <c r="D9" s="166">
        <v>164</v>
      </c>
      <c r="E9" s="116" t="s">
        <v>19</v>
      </c>
      <c r="F9" s="144" t="s">
        <v>795</v>
      </c>
      <c r="G9" s="145">
        <v>83</v>
      </c>
      <c r="H9" s="145">
        <v>97</v>
      </c>
      <c r="I9" s="145">
        <v>94</v>
      </c>
      <c r="J9" s="146">
        <v>98</v>
      </c>
      <c r="K9" s="146">
        <v>80</v>
      </c>
      <c r="L9" s="146">
        <v>89</v>
      </c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>
        <f t="shared" si="0"/>
        <v>541</v>
      </c>
      <c r="Y9" s="145">
        <v>26</v>
      </c>
      <c r="Z9" s="145">
        <v>26</v>
      </c>
      <c r="AA9" s="145">
        <v>28</v>
      </c>
      <c r="AB9" s="141">
        <f t="shared" si="1"/>
        <v>80</v>
      </c>
      <c r="AC9" s="145">
        <v>30</v>
      </c>
      <c r="AD9" s="145">
        <v>30</v>
      </c>
      <c r="AE9" s="145">
        <v>30</v>
      </c>
      <c r="AF9" s="141">
        <f t="shared" si="2"/>
        <v>90</v>
      </c>
      <c r="AG9" s="145">
        <v>30</v>
      </c>
      <c r="AH9" s="145">
        <v>31</v>
      </c>
      <c r="AI9" s="145">
        <v>30</v>
      </c>
      <c r="AJ9" s="145">
        <f t="shared" si="3"/>
        <v>91</v>
      </c>
      <c r="AK9" s="140"/>
      <c r="AM9" s="140"/>
      <c r="AN9" s="140"/>
    </row>
    <row r="10" spans="1:52">
      <c r="A10" s="143">
        <v>92</v>
      </c>
      <c r="B10" s="144" t="s">
        <v>749</v>
      </c>
      <c r="C10" s="151" t="s">
        <v>750</v>
      </c>
      <c r="D10" s="166">
        <v>414</v>
      </c>
      <c r="E10" s="116" t="s">
        <v>16</v>
      </c>
      <c r="F10" s="144" t="s">
        <v>852</v>
      </c>
      <c r="G10" s="145">
        <v>80</v>
      </c>
      <c r="H10" s="145">
        <v>98</v>
      </c>
      <c r="I10" s="145">
        <v>92</v>
      </c>
      <c r="J10" s="146">
        <v>98</v>
      </c>
      <c r="K10" s="146">
        <v>91</v>
      </c>
      <c r="L10" s="146">
        <v>82</v>
      </c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>
        <f t="shared" si="0"/>
        <v>541</v>
      </c>
      <c r="Y10" s="141">
        <v>28</v>
      </c>
      <c r="Z10" s="141">
        <v>26</v>
      </c>
      <c r="AA10" s="141">
        <v>29</v>
      </c>
      <c r="AB10" s="141">
        <f t="shared" si="1"/>
        <v>83</v>
      </c>
      <c r="AC10" s="141">
        <v>33</v>
      </c>
      <c r="AD10" s="141">
        <v>32</v>
      </c>
      <c r="AE10" s="141">
        <v>32</v>
      </c>
      <c r="AF10" s="141">
        <f t="shared" si="2"/>
        <v>97</v>
      </c>
      <c r="AG10" s="141">
        <v>32</v>
      </c>
      <c r="AH10" s="141">
        <v>30</v>
      </c>
      <c r="AI10" s="141">
        <v>32</v>
      </c>
      <c r="AJ10" s="145">
        <f t="shared" si="3"/>
        <v>94</v>
      </c>
      <c r="AK10" s="140"/>
      <c r="AM10" s="140"/>
      <c r="AN10" s="140"/>
    </row>
    <row r="11" spans="1:52" ht="19.5" customHeight="1">
      <c r="A11" s="143">
        <v>94</v>
      </c>
      <c r="B11" s="144" t="s">
        <v>1255</v>
      </c>
      <c r="C11" s="161" t="s">
        <v>753</v>
      </c>
      <c r="D11" s="166">
        <v>424</v>
      </c>
      <c r="E11" s="116" t="s">
        <v>14</v>
      </c>
      <c r="F11" s="144" t="s">
        <v>795</v>
      </c>
      <c r="G11" s="145">
        <v>73</v>
      </c>
      <c r="H11" s="145">
        <v>90</v>
      </c>
      <c r="I11" s="145">
        <v>90</v>
      </c>
      <c r="J11" s="146">
        <v>99</v>
      </c>
      <c r="K11" s="146">
        <v>92</v>
      </c>
      <c r="L11" s="146">
        <v>92</v>
      </c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>
        <f t="shared" si="0"/>
        <v>536</v>
      </c>
      <c r="Y11" s="141">
        <v>28</v>
      </c>
      <c r="Z11" s="141">
        <v>27</v>
      </c>
      <c r="AA11" s="141">
        <v>28</v>
      </c>
      <c r="AB11" s="141">
        <f t="shared" si="1"/>
        <v>83</v>
      </c>
      <c r="AC11" s="141">
        <v>30</v>
      </c>
      <c r="AD11" s="141">
        <v>30</v>
      </c>
      <c r="AE11" s="141">
        <v>32</v>
      </c>
      <c r="AF11" s="141">
        <f t="shared" si="2"/>
        <v>92</v>
      </c>
      <c r="AG11" s="141">
        <v>30</v>
      </c>
      <c r="AH11" s="141">
        <v>32</v>
      </c>
      <c r="AI11" s="141">
        <v>32</v>
      </c>
      <c r="AJ11" s="145">
        <f t="shared" si="3"/>
        <v>94</v>
      </c>
      <c r="AK11" s="140"/>
      <c r="AM11" s="140"/>
      <c r="AN11" s="140"/>
    </row>
    <row r="12" spans="1:52">
      <c r="A12" s="143">
        <v>13</v>
      </c>
      <c r="B12" s="144" t="s">
        <v>632</v>
      </c>
      <c r="C12" s="151" t="s">
        <v>633</v>
      </c>
      <c r="D12" s="166">
        <v>43</v>
      </c>
      <c r="E12" s="116" t="s">
        <v>19</v>
      </c>
      <c r="F12" s="144" t="s">
        <v>795</v>
      </c>
      <c r="G12" s="145">
        <v>84</v>
      </c>
      <c r="H12" s="145">
        <v>95</v>
      </c>
      <c r="I12" s="145">
        <v>80</v>
      </c>
      <c r="J12" s="146">
        <v>91</v>
      </c>
      <c r="K12" s="146">
        <v>90</v>
      </c>
      <c r="L12" s="146">
        <v>95</v>
      </c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>
        <f t="shared" si="0"/>
        <v>535</v>
      </c>
      <c r="Y12" s="145">
        <v>23</v>
      </c>
      <c r="Z12" s="145">
        <v>21</v>
      </c>
      <c r="AA12" s="145">
        <v>24</v>
      </c>
      <c r="AB12" s="141">
        <f t="shared" si="1"/>
        <v>68</v>
      </c>
      <c r="AC12" s="145">
        <v>30</v>
      </c>
      <c r="AD12" s="145">
        <v>30</v>
      </c>
      <c r="AE12" s="145">
        <v>30</v>
      </c>
      <c r="AF12" s="141">
        <f t="shared" si="2"/>
        <v>90</v>
      </c>
      <c r="AG12" s="145">
        <v>30</v>
      </c>
      <c r="AH12" s="145">
        <v>31</v>
      </c>
      <c r="AI12" s="145">
        <v>30</v>
      </c>
      <c r="AJ12" s="145">
        <f t="shared" si="3"/>
        <v>91</v>
      </c>
      <c r="AK12" s="140"/>
      <c r="AM12" s="140"/>
      <c r="AN12" s="140"/>
    </row>
    <row r="13" spans="1:52" ht="19.5" customHeight="1">
      <c r="A13" s="143">
        <v>28</v>
      </c>
      <c r="B13" s="144" t="s">
        <v>1254</v>
      </c>
      <c r="C13" s="161" t="s">
        <v>652</v>
      </c>
      <c r="D13" s="166">
        <v>75</v>
      </c>
      <c r="E13" s="116" t="s">
        <v>14</v>
      </c>
      <c r="F13" s="144" t="s">
        <v>855</v>
      </c>
      <c r="G13" s="145">
        <v>68</v>
      </c>
      <c r="H13" s="145">
        <v>90</v>
      </c>
      <c r="I13" s="145">
        <v>91</v>
      </c>
      <c r="J13" s="146">
        <v>97</v>
      </c>
      <c r="K13" s="146">
        <v>99</v>
      </c>
      <c r="L13" s="146">
        <v>90</v>
      </c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>
        <f t="shared" si="0"/>
        <v>535</v>
      </c>
      <c r="Y13" s="145">
        <v>24</v>
      </c>
      <c r="Z13" s="145">
        <v>26</v>
      </c>
      <c r="AA13" s="145">
        <v>23</v>
      </c>
      <c r="AB13" s="141">
        <f t="shared" si="1"/>
        <v>73</v>
      </c>
      <c r="AC13" s="145">
        <v>30</v>
      </c>
      <c r="AD13" s="145">
        <v>30</v>
      </c>
      <c r="AE13" s="145">
        <v>30</v>
      </c>
      <c r="AF13" s="141">
        <f t="shared" si="2"/>
        <v>90</v>
      </c>
      <c r="AG13" s="141">
        <v>30</v>
      </c>
      <c r="AH13" s="141">
        <v>30</v>
      </c>
      <c r="AI13" s="141">
        <v>30</v>
      </c>
      <c r="AJ13" s="145">
        <f t="shared" si="3"/>
        <v>90</v>
      </c>
      <c r="AK13" s="140"/>
      <c r="AM13" s="140"/>
      <c r="AN13" s="140"/>
    </row>
    <row r="14" spans="1:52" ht="19.5" customHeight="1">
      <c r="A14" s="143">
        <v>64</v>
      </c>
      <c r="B14" s="144" t="s">
        <v>706</v>
      </c>
      <c r="C14" s="151" t="s">
        <v>707</v>
      </c>
      <c r="D14" s="168">
        <v>216</v>
      </c>
      <c r="E14" s="151" t="s">
        <v>16</v>
      </c>
      <c r="F14" s="144" t="s">
        <v>852</v>
      </c>
      <c r="G14" s="145">
        <v>83</v>
      </c>
      <c r="H14" s="145">
        <v>92</v>
      </c>
      <c r="I14" s="145">
        <v>94</v>
      </c>
      <c r="J14" s="146">
        <v>88</v>
      </c>
      <c r="K14" s="146">
        <v>87</v>
      </c>
      <c r="L14" s="146">
        <v>87</v>
      </c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>
        <f t="shared" si="0"/>
        <v>531</v>
      </c>
      <c r="Y14" s="141">
        <v>28</v>
      </c>
      <c r="Z14" s="141">
        <v>30</v>
      </c>
      <c r="AA14" s="141">
        <v>26</v>
      </c>
      <c r="AB14" s="141">
        <f t="shared" si="1"/>
        <v>84</v>
      </c>
      <c r="AC14" s="141">
        <v>32</v>
      </c>
      <c r="AD14" s="141">
        <v>33</v>
      </c>
      <c r="AE14" s="141">
        <v>30</v>
      </c>
      <c r="AF14" s="141">
        <f t="shared" si="2"/>
        <v>95</v>
      </c>
      <c r="AG14" s="141">
        <v>25</v>
      </c>
      <c r="AH14" s="141">
        <v>25</v>
      </c>
      <c r="AI14" s="141">
        <v>30</v>
      </c>
      <c r="AJ14" s="145">
        <f t="shared" si="3"/>
        <v>80</v>
      </c>
      <c r="AK14" s="140"/>
      <c r="AM14" s="140"/>
      <c r="AN14" s="140"/>
    </row>
    <row r="15" spans="1:52">
      <c r="A15" s="143">
        <v>16</v>
      </c>
      <c r="B15" s="144" t="s">
        <v>637</v>
      </c>
      <c r="C15" s="151" t="s">
        <v>638</v>
      </c>
      <c r="D15" s="166">
        <v>48</v>
      </c>
      <c r="E15" s="116" t="s">
        <v>854</v>
      </c>
      <c r="F15" s="144" t="s">
        <v>795</v>
      </c>
      <c r="G15" s="145">
        <v>62</v>
      </c>
      <c r="H15" s="145">
        <v>90</v>
      </c>
      <c r="I15" s="145">
        <v>85</v>
      </c>
      <c r="J15" s="146">
        <v>99</v>
      </c>
      <c r="K15" s="146">
        <v>94</v>
      </c>
      <c r="L15" s="146">
        <v>98</v>
      </c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>
        <f t="shared" si="0"/>
        <v>528</v>
      </c>
      <c r="Y15" s="145">
        <v>27</v>
      </c>
      <c r="Z15" s="145">
        <v>25</v>
      </c>
      <c r="AA15" s="145">
        <v>24</v>
      </c>
      <c r="AB15" s="141">
        <f t="shared" si="1"/>
        <v>76</v>
      </c>
      <c r="AC15" s="145">
        <v>28</v>
      </c>
      <c r="AD15" s="145">
        <v>30</v>
      </c>
      <c r="AE15" s="145">
        <v>30</v>
      </c>
      <c r="AF15" s="141">
        <f t="shared" si="2"/>
        <v>88</v>
      </c>
      <c r="AG15" s="145">
        <v>30</v>
      </c>
      <c r="AH15" s="145">
        <v>31</v>
      </c>
      <c r="AI15" s="145">
        <v>30</v>
      </c>
      <c r="AJ15" s="145">
        <f t="shared" si="3"/>
        <v>91</v>
      </c>
      <c r="AK15" s="140"/>
      <c r="AM15" s="140"/>
      <c r="AN15" s="140"/>
    </row>
    <row r="16" spans="1:52" ht="19.5" customHeight="1">
      <c r="A16" s="143">
        <v>66</v>
      </c>
      <c r="B16" s="144" t="s">
        <v>710</v>
      </c>
      <c r="C16" s="151" t="s">
        <v>711</v>
      </c>
      <c r="D16" s="166">
        <v>248</v>
      </c>
      <c r="E16" s="116" t="s">
        <v>854</v>
      </c>
      <c r="F16" s="144" t="s">
        <v>855</v>
      </c>
      <c r="G16" s="145">
        <v>76</v>
      </c>
      <c r="H16" s="145">
        <v>88</v>
      </c>
      <c r="I16" s="145">
        <v>91</v>
      </c>
      <c r="J16" s="146">
        <v>92</v>
      </c>
      <c r="K16" s="146">
        <v>96</v>
      </c>
      <c r="L16" s="146">
        <v>84</v>
      </c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>
        <f t="shared" si="0"/>
        <v>527</v>
      </c>
      <c r="Y16" s="141">
        <v>25</v>
      </c>
      <c r="Z16" s="141">
        <v>27</v>
      </c>
      <c r="AA16" s="141">
        <v>28</v>
      </c>
      <c r="AB16" s="141">
        <f t="shared" si="1"/>
        <v>80</v>
      </c>
      <c r="AC16" s="141">
        <v>30</v>
      </c>
      <c r="AD16" s="141">
        <v>30</v>
      </c>
      <c r="AE16" s="141">
        <v>30</v>
      </c>
      <c r="AF16" s="141">
        <f t="shared" si="2"/>
        <v>90</v>
      </c>
      <c r="AG16" s="141">
        <v>30</v>
      </c>
      <c r="AH16" s="141">
        <v>30</v>
      </c>
      <c r="AI16" s="141">
        <v>20</v>
      </c>
      <c r="AJ16" s="145">
        <f t="shared" si="3"/>
        <v>80</v>
      </c>
      <c r="AK16" s="140"/>
      <c r="AM16" s="140"/>
      <c r="AN16" s="140"/>
    </row>
    <row r="17" spans="1:40" s="186" customFormat="1" ht="19.5" customHeight="1">
      <c r="A17" s="177">
        <v>86</v>
      </c>
      <c r="B17" s="178" t="s">
        <v>1321</v>
      </c>
      <c r="C17" s="179" t="s">
        <v>744</v>
      </c>
      <c r="D17" s="180">
        <v>257</v>
      </c>
      <c r="E17" s="181" t="s">
        <v>14</v>
      </c>
      <c r="F17" s="178" t="s">
        <v>856</v>
      </c>
      <c r="G17" s="182">
        <v>81</v>
      </c>
      <c r="H17" s="182">
        <v>88</v>
      </c>
      <c r="I17" s="182">
        <v>91</v>
      </c>
      <c r="J17" s="182">
        <v>99</v>
      </c>
      <c r="K17" s="182">
        <v>72</v>
      </c>
      <c r="L17" s="182">
        <v>96</v>
      </c>
      <c r="M17" s="183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>
        <f t="shared" si="0"/>
        <v>527</v>
      </c>
      <c r="Y17" s="182">
        <v>21</v>
      </c>
      <c r="Z17" s="182">
        <v>23</v>
      </c>
      <c r="AA17" s="182">
        <v>18</v>
      </c>
      <c r="AB17" s="184">
        <f t="shared" si="1"/>
        <v>62</v>
      </c>
      <c r="AC17" s="182">
        <v>30</v>
      </c>
      <c r="AD17" s="182">
        <v>30</v>
      </c>
      <c r="AE17" s="182">
        <v>30</v>
      </c>
      <c r="AF17" s="184">
        <f t="shared" si="2"/>
        <v>90</v>
      </c>
      <c r="AG17" s="182">
        <v>30</v>
      </c>
      <c r="AH17" s="182">
        <v>25</v>
      </c>
      <c r="AI17" s="182">
        <v>30</v>
      </c>
      <c r="AJ17" s="182">
        <f t="shared" si="3"/>
        <v>85</v>
      </c>
      <c r="AK17" s="185"/>
      <c r="AM17" s="185"/>
      <c r="AN17" s="185"/>
    </row>
    <row r="18" spans="1:40" ht="19.5" customHeight="1">
      <c r="A18" s="143">
        <v>70</v>
      </c>
      <c r="B18" s="144" t="s">
        <v>717</v>
      </c>
      <c r="C18" s="151" t="s">
        <v>718</v>
      </c>
      <c r="D18" s="166">
        <v>274</v>
      </c>
      <c r="E18" s="116" t="s">
        <v>14</v>
      </c>
      <c r="F18" s="144" t="s">
        <v>856</v>
      </c>
      <c r="G18" s="145">
        <v>80</v>
      </c>
      <c r="H18" s="145">
        <v>85</v>
      </c>
      <c r="I18" s="145">
        <v>90</v>
      </c>
      <c r="J18" s="146">
        <v>99</v>
      </c>
      <c r="K18" s="146">
        <v>79</v>
      </c>
      <c r="L18" s="146">
        <v>92</v>
      </c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>
        <f t="shared" si="0"/>
        <v>525</v>
      </c>
      <c r="Y18" s="141">
        <v>28</v>
      </c>
      <c r="Z18" s="141">
        <v>24</v>
      </c>
      <c r="AA18" s="141">
        <v>28</v>
      </c>
      <c r="AB18" s="141">
        <f t="shared" si="1"/>
        <v>80</v>
      </c>
      <c r="AC18" s="141">
        <v>23</v>
      </c>
      <c r="AD18" s="141">
        <v>32</v>
      </c>
      <c r="AE18" s="141">
        <v>32</v>
      </c>
      <c r="AF18" s="141">
        <f t="shared" si="2"/>
        <v>87</v>
      </c>
      <c r="AG18" s="141">
        <v>30</v>
      </c>
      <c r="AH18" s="141">
        <v>25</v>
      </c>
      <c r="AI18" s="141">
        <v>27</v>
      </c>
      <c r="AJ18" s="145">
        <f t="shared" si="3"/>
        <v>82</v>
      </c>
      <c r="AK18" s="140"/>
      <c r="AM18" s="140"/>
      <c r="AN18" s="140"/>
    </row>
    <row r="19" spans="1:40" s="186" customFormat="1" ht="19.5" customHeight="1">
      <c r="A19" s="177">
        <v>69</v>
      </c>
      <c r="B19" s="178" t="s">
        <v>1257</v>
      </c>
      <c r="C19" s="179" t="s">
        <v>716</v>
      </c>
      <c r="D19" s="187">
        <v>273</v>
      </c>
      <c r="E19" s="181" t="s">
        <v>14</v>
      </c>
      <c r="F19" s="178" t="s">
        <v>795</v>
      </c>
      <c r="G19" s="182">
        <v>73</v>
      </c>
      <c r="H19" s="182">
        <v>90</v>
      </c>
      <c r="I19" s="182">
        <v>92</v>
      </c>
      <c r="J19" s="182">
        <v>99</v>
      </c>
      <c r="K19" s="182">
        <v>70</v>
      </c>
      <c r="L19" s="182">
        <v>98</v>
      </c>
      <c r="M19" s="183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>
        <f t="shared" si="0"/>
        <v>522</v>
      </c>
      <c r="Y19" s="182">
        <v>28</v>
      </c>
      <c r="Z19" s="182">
        <v>26</v>
      </c>
      <c r="AA19" s="182">
        <v>27</v>
      </c>
      <c r="AB19" s="184">
        <f t="shared" si="1"/>
        <v>81</v>
      </c>
      <c r="AC19" s="182">
        <v>28</v>
      </c>
      <c r="AD19" s="182">
        <v>30</v>
      </c>
      <c r="AE19" s="182">
        <v>30</v>
      </c>
      <c r="AF19" s="184">
        <f t="shared" si="2"/>
        <v>88</v>
      </c>
      <c r="AG19" s="184">
        <v>31</v>
      </c>
      <c r="AH19" s="184">
        <v>30</v>
      </c>
      <c r="AI19" s="184">
        <v>30</v>
      </c>
      <c r="AJ19" s="182">
        <f t="shared" si="3"/>
        <v>91</v>
      </c>
      <c r="AK19" s="185"/>
      <c r="AM19" s="185"/>
      <c r="AN19" s="185"/>
    </row>
    <row r="20" spans="1:40" ht="19.5" customHeight="1">
      <c r="A20" s="143">
        <v>79</v>
      </c>
      <c r="B20" s="144" t="s">
        <v>731</v>
      </c>
      <c r="C20" s="151" t="s">
        <v>732</v>
      </c>
      <c r="D20" s="166">
        <v>363</v>
      </c>
      <c r="E20" s="116" t="s">
        <v>14</v>
      </c>
      <c r="F20" s="144" t="s">
        <v>855</v>
      </c>
      <c r="G20" s="145">
        <v>80</v>
      </c>
      <c r="H20" s="145">
        <v>90</v>
      </c>
      <c r="I20" s="145">
        <v>90</v>
      </c>
      <c r="J20" s="146">
        <v>89</v>
      </c>
      <c r="K20" s="146">
        <v>93</v>
      </c>
      <c r="L20" s="146">
        <v>80</v>
      </c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>
        <f t="shared" si="0"/>
        <v>522</v>
      </c>
      <c r="Y20" s="145">
        <v>28</v>
      </c>
      <c r="Z20" s="145">
        <v>26</v>
      </c>
      <c r="AA20" s="145">
        <v>26</v>
      </c>
      <c r="AB20" s="141">
        <f t="shared" si="1"/>
        <v>80</v>
      </c>
      <c r="AC20" s="145">
        <v>30</v>
      </c>
      <c r="AD20" s="145">
        <v>30</v>
      </c>
      <c r="AE20" s="145">
        <v>25</v>
      </c>
      <c r="AF20" s="141">
        <f t="shared" si="2"/>
        <v>85</v>
      </c>
      <c r="AG20" s="141">
        <v>30</v>
      </c>
      <c r="AH20" s="141">
        <v>30</v>
      </c>
      <c r="AI20" s="141">
        <v>30</v>
      </c>
      <c r="AJ20" s="145">
        <f t="shared" si="3"/>
        <v>90</v>
      </c>
      <c r="AK20" s="140"/>
      <c r="AM20" s="140"/>
      <c r="AN20" s="140"/>
    </row>
    <row r="21" spans="1:40">
      <c r="A21" s="143">
        <v>3</v>
      </c>
      <c r="B21" s="144" t="s">
        <v>614</v>
      </c>
      <c r="C21" s="151" t="s">
        <v>615</v>
      </c>
      <c r="D21" s="166">
        <v>11</v>
      </c>
      <c r="E21" s="116" t="s">
        <v>20</v>
      </c>
      <c r="F21" s="144" t="s">
        <v>852</v>
      </c>
      <c r="G21" s="145">
        <v>80</v>
      </c>
      <c r="H21" s="147">
        <v>90</v>
      </c>
      <c r="I21" s="145">
        <v>80</v>
      </c>
      <c r="J21" s="146">
        <v>97</v>
      </c>
      <c r="K21" s="146">
        <v>93</v>
      </c>
      <c r="L21" s="146">
        <v>78</v>
      </c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>
        <f t="shared" si="0"/>
        <v>518</v>
      </c>
      <c r="Y21" s="145">
        <v>27</v>
      </c>
      <c r="Z21" s="145">
        <v>27</v>
      </c>
      <c r="AA21" s="145">
        <v>26</v>
      </c>
      <c r="AB21" s="141">
        <f t="shared" si="1"/>
        <v>80</v>
      </c>
      <c r="AC21" s="145">
        <v>30</v>
      </c>
      <c r="AD21" s="145">
        <v>30</v>
      </c>
      <c r="AE21" s="145">
        <v>30</v>
      </c>
      <c r="AF21" s="141">
        <f t="shared" si="2"/>
        <v>90</v>
      </c>
      <c r="AG21" s="141">
        <v>30</v>
      </c>
      <c r="AH21" s="141">
        <v>30</v>
      </c>
      <c r="AI21" s="141">
        <v>30</v>
      </c>
      <c r="AJ21" s="145">
        <f t="shared" si="3"/>
        <v>90</v>
      </c>
      <c r="AK21" s="140"/>
      <c r="AM21" s="140"/>
      <c r="AN21" s="140"/>
    </row>
    <row r="22" spans="1:40">
      <c r="A22" s="143">
        <v>14</v>
      </c>
      <c r="B22" s="144" t="s">
        <v>634</v>
      </c>
      <c r="C22" s="151" t="s">
        <v>633</v>
      </c>
      <c r="D22" s="166">
        <v>44</v>
      </c>
      <c r="E22" s="116" t="s">
        <v>18</v>
      </c>
      <c r="F22" s="144" t="s">
        <v>853</v>
      </c>
      <c r="G22" s="145">
        <v>65</v>
      </c>
      <c r="H22" s="147">
        <v>75</v>
      </c>
      <c r="I22" s="145">
        <v>90</v>
      </c>
      <c r="J22" s="146">
        <v>90</v>
      </c>
      <c r="K22" s="146">
        <v>99</v>
      </c>
      <c r="L22" s="146">
        <v>99</v>
      </c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>
        <f t="shared" si="0"/>
        <v>518</v>
      </c>
      <c r="Y22" s="145">
        <v>24</v>
      </c>
      <c r="Z22" s="145">
        <v>25</v>
      </c>
      <c r="AA22" s="145">
        <v>24</v>
      </c>
      <c r="AB22" s="141">
        <f t="shared" si="1"/>
        <v>73</v>
      </c>
      <c r="AC22" s="145">
        <v>30</v>
      </c>
      <c r="AD22" s="145">
        <v>30</v>
      </c>
      <c r="AE22" s="145">
        <v>30</v>
      </c>
      <c r="AF22" s="141">
        <f t="shared" si="2"/>
        <v>90</v>
      </c>
      <c r="AG22" s="141">
        <v>30</v>
      </c>
      <c r="AH22" s="141">
        <v>32</v>
      </c>
      <c r="AI22" s="141">
        <v>30</v>
      </c>
      <c r="AJ22" s="145">
        <f t="shared" si="3"/>
        <v>92</v>
      </c>
      <c r="AK22" s="140"/>
      <c r="AM22" s="140"/>
      <c r="AN22" s="140"/>
    </row>
    <row r="23" spans="1:40" ht="19.5" customHeight="1">
      <c r="A23" s="143">
        <v>77</v>
      </c>
      <c r="B23" s="144" t="s">
        <v>1256</v>
      </c>
      <c r="C23" s="161" t="s">
        <v>728</v>
      </c>
      <c r="D23" s="166">
        <v>354</v>
      </c>
      <c r="E23" s="116" t="s">
        <v>19</v>
      </c>
      <c r="F23" s="144" t="s">
        <v>852</v>
      </c>
      <c r="G23" s="145">
        <v>80</v>
      </c>
      <c r="H23" s="145">
        <v>87</v>
      </c>
      <c r="I23" s="145">
        <v>82</v>
      </c>
      <c r="J23" s="146">
        <v>96</v>
      </c>
      <c r="K23" s="146">
        <v>84</v>
      </c>
      <c r="L23" s="146">
        <v>89</v>
      </c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>
        <f t="shared" si="0"/>
        <v>518</v>
      </c>
      <c r="Y23" s="141">
        <v>25</v>
      </c>
      <c r="Z23" s="141">
        <v>23</v>
      </c>
      <c r="AA23" s="141">
        <v>27</v>
      </c>
      <c r="AB23" s="141">
        <f t="shared" si="1"/>
        <v>75</v>
      </c>
      <c r="AC23" s="141">
        <v>25</v>
      </c>
      <c r="AD23" s="141">
        <v>26</v>
      </c>
      <c r="AE23" s="141">
        <v>30</v>
      </c>
      <c r="AF23" s="141">
        <f t="shared" si="2"/>
        <v>81</v>
      </c>
      <c r="AG23" s="141">
        <v>25</v>
      </c>
      <c r="AH23" s="141">
        <v>30</v>
      </c>
      <c r="AI23" s="141">
        <v>20</v>
      </c>
      <c r="AJ23" s="145">
        <f t="shared" si="3"/>
        <v>75</v>
      </c>
      <c r="AK23" s="140"/>
      <c r="AM23" s="140"/>
      <c r="AN23" s="140"/>
    </row>
    <row r="24" spans="1:40" ht="19.5" customHeight="1">
      <c r="A24" s="143">
        <v>91</v>
      </c>
      <c r="B24" s="144" t="s">
        <v>748</v>
      </c>
      <c r="C24" s="151" t="s">
        <v>451</v>
      </c>
      <c r="D24" s="166">
        <v>411</v>
      </c>
      <c r="E24" s="116" t="s">
        <v>16</v>
      </c>
      <c r="F24" s="144" t="s">
        <v>856</v>
      </c>
      <c r="G24" s="145">
        <v>88</v>
      </c>
      <c r="H24" s="145">
        <v>78</v>
      </c>
      <c r="I24" s="145">
        <v>85</v>
      </c>
      <c r="J24" s="146">
        <v>91</v>
      </c>
      <c r="K24" s="146">
        <v>80</v>
      </c>
      <c r="L24" s="146">
        <v>94</v>
      </c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>
        <f>SUM(G24,H24,I24,J24,K24,L24)</f>
        <v>516</v>
      </c>
      <c r="Y24" s="141">
        <v>25</v>
      </c>
      <c r="Z24" s="141">
        <v>25</v>
      </c>
      <c r="AA24" s="141">
        <v>30</v>
      </c>
      <c r="AB24" s="141">
        <f>SUM(Y24:AA24)</f>
        <v>80</v>
      </c>
      <c r="AC24" s="141">
        <v>25</v>
      </c>
      <c r="AD24" s="141">
        <v>25</v>
      </c>
      <c r="AE24" s="141">
        <v>25</v>
      </c>
      <c r="AF24" s="141">
        <f>SUM(AC24:AE24)</f>
        <v>75</v>
      </c>
      <c r="AG24" s="141">
        <v>20</v>
      </c>
      <c r="AH24" s="141">
        <v>25</v>
      </c>
      <c r="AI24" s="141">
        <v>20</v>
      </c>
      <c r="AJ24" s="145">
        <f>SUM(AG24:AI24)</f>
        <v>65</v>
      </c>
      <c r="AK24" s="140"/>
      <c r="AM24" s="140"/>
      <c r="AN24" s="140"/>
    </row>
    <row r="25" spans="1:40">
      <c r="A25" s="143">
        <v>107</v>
      </c>
      <c r="B25" s="144" t="s">
        <v>769</v>
      </c>
      <c r="C25" s="151" t="s">
        <v>770</v>
      </c>
      <c r="D25" s="166">
        <v>489</v>
      </c>
      <c r="E25" s="116" t="s">
        <v>18</v>
      </c>
      <c r="F25" s="144" t="s">
        <v>855</v>
      </c>
      <c r="G25" s="145">
        <v>85</v>
      </c>
      <c r="H25" s="147">
        <v>80</v>
      </c>
      <c r="I25" s="145">
        <v>88</v>
      </c>
      <c r="J25" s="146">
        <v>97</v>
      </c>
      <c r="K25" s="146">
        <v>87</v>
      </c>
      <c r="L25" s="146">
        <v>78</v>
      </c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>
        <f t="shared" si="0"/>
        <v>515</v>
      </c>
      <c r="Y25" s="141">
        <v>30</v>
      </c>
      <c r="Z25" s="141">
        <v>30</v>
      </c>
      <c r="AA25" s="141">
        <v>30</v>
      </c>
      <c r="AB25" s="141">
        <f t="shared" si="1"/>
        <v>90</v>
      </c>
      <c r="AC25" s="141">
        <v>32</v>
      </c>
      <c r="AD25" s="141">
        <v>32</v>
      </c>
      <c r="AE25" s="141">
        <v>26</v>
      </c>
      <c r="AF25" s="141">
        <f t="shared" si="2"/>
        <v>90</v>
      </c>
      <c r="AG25" s="145">
        <v>20</v>
      </c>
      <c r="AH25" s="145">
        <v>20</v>
      </c>
      <c r="AI25" s="145">
        <v>25</v>
      </c>
      <c r="AJ25" s="145">
        <f t="shared" si="3"/>
        <v>65</v>
      </c>
      <c r="AK25" s="140"/>
      <c r="AM25" s="140"/>
      <c r="AN25" s="140"/>
    </row>
    <row r="26" spans="1:40">
      <c r="A26" s="143">
        <v>72</v>
      </c>
      <c r="B26" s="144" t="s">
        <v>720</v>
      </c>
      <c r="C26" s="151" t="s">
        <v>721</v>
      </c>
      <c r="D26" s="166">
        <v>313</v>
      </c>
      <c r="E26" s="116" t="s">
        <v>19</v>
      </c>
      <c r="F26" s="144" t="s">
        <v>852</v>
      </c>
      <c r="G26" s="145">
        <v>75</v>
      </c>
      <c r="H26" s="145">
        <v>81</v>
      </c>
      <c r="I26" s="145">
        <v>75</v>
      </c>
      <c r="J26" s="146">
        <v>98</v>
      </c>
      <c r="K26" s="146">
        <v>92</v>
      </c>
      <c r="L26" s="146">
        <v>90</v>
      </c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>
        <f t="shared" si="0"/>
        <v>511</v>
      </c>
      <c r="Y26" s="145">
        <v>27</v>
      </c>
      <c r="Z26" s="145">
        <v>27</v>
      </c>
      <c r="AA26" s="145">
        <v>18</v>
      </c>
      <c r="AB26" s="141">
        <f t="shared" si="1"/>
        <v>72</v>
      </c>
      <c r="AC26" s="145">
        <v>30</v>
      </c>
      <c r="AD26" s="145">
        <v>30</v>
      </c>
      <c r="AE26" s="145">
        <v>30</v>
      </c>
      <c r="AF26" s="141">
        <f t="shared" si="2"/>
        <v>90</v>
      </c>
      <c r="AG26" s="145">
        <v>20</v>
      </c>
      <c r="AH26" s="145">
        <v>25</v>
      </c>
      <c r="AI26" s="145">
        <v>30</v>
      </c>
      <c r="AJ26" s="145">
        <f t="shared" si="3"/>
        <v>75</v>
      </c>
      <c r="AK26" s="140"/>
      <c r="AM26" s="140"/>
      <c r="AN26" s="140"/>
    </row>
    <row r="27" spans="1:40" ht="19.5" customHeight="1">
      <c r="A27" s="143">
        <v>27</v>
      </c>
      <c r="B27" s="144" t="s">
        <v>1258</v>
      </c>
      <c r="C27" s="161" t="s">
        <v>651</v>
      </c>
      <c r="D27" s="166">
        <v>65</v>
      </c>
      <c r="E27" s="116" t="s">
        <v>16</v>
      </c>
      <c r="F27" s="144" t="s">
        <v>852</v>
      </c>
      <c r="G27" s="145">
        <v>90</v>
      </c>
      <c r="H27" s="145">
        <v>90</v>
      </c>
      <c r="I27" s="145">
        <v>65</v>
      </c>
      <c r="J27" s="146">
        <v>91</v>
      </c>
      <c r="K27" s="146">
        <v>88</v>
      </c>
      <c r="L27" s="146">
        <v>85</v>
      </c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>
        <f t="shared" si="0"/>
        <v>509</v>
      </c>
      <c r="Y27" s="141">
        <v>25</v>
      </c>
      <c r="Z27" s="141">
        <v>20</v>
      </c>
      <c r="AA27" s="141">
        <v>20</v>
      </c>
      <c r="AB27" s="149">
        <f t="shared" si="1"/>
        <v>65</v>
      </c>
      <c r="AC27" s="141">
        <v>20</v>
      </c>
      <c r="AD27" s="141">
        <v>25</v>
      </c>
      <c r="AE27" s="141">
        <v>30</v>
      </c>
      <c r="AF27" s="141">
        <f t="shared" si="2"/>
        <v>75</v>
      </c>
      <c r="AG27" s="141">
        <v>30</v>
      </c>
      <c r="AH27" s="141">
        <v>30</v>
      </c>
      <c r="AI27" s="141">
        <v>30</v>
      </c>
      <c r="AJ27" s="145">
        <f t="shared" si="3"/>
        <v>90</v>
      </c>
      <c r="AK27" s="140"/>
      <c r="AM27" s="140"/>
      <c r="AN27" s="140"/>
    </row>
    <row r="28" spans="1:40" ht="19.5" customHeight="1">
      <c r="A28" s="143">
        <v>33</v>
      </c>
      <c r="B28" s="144" t="s">
        <v>657</v>
      </c>
      <c r="C28" s="151" t="s">
        <v>658</v>
      </c>
      <c r="D28" s="166">
        <v>85</v>
      </c>
      <c r="E28" s="116" t="s">
        <v>854</v>
      </c>
      <c r="F28" s="144" t="s">
        <v>852</v>
      </c>
      <c r="G28" s="145">
        <v>72</v>
      </c>
      <c r="H28" s="145">
        <v>90</v>
      </c>
      <c r="I28" s="145">
        <v>75</v>
      </c>
      <c r="J28" s="146">
        <v>97</v>
      </c>
      <c r="K28" s="146">
        <v>87</v>
      </c>
      <c r="L28" s="146">
        <v>88</v>
      </c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>
        <f t="shared" si="0"/>
        <v>509</v>
      </c>
      <c r="Y28" s="145">
        <v>20</v>
      </c>
      <c r="Z28" s="145">
        <v>20</v>
      </c>
      <c r="AA28" s="145">
        <v>18</v>
      </c>
      <c r="AB28" s="141">
        <f t="shared" si="1"/>
        <v>58</v>
      </c>
      <c r="AC28" s="145">
        <v>30</v>
      </c>
      <c r="AD28" s="145">
        <v>30</v>
      </c>
      <c r="AE28" s="145">
        <v>25</v>
      </c>
      <c r="AF28" s="141">
        <f t="shared" si="2"/>
        <v>85</v>
      </c>
      <c r="AG28" s="141">
        <v>30</v>
      </c>
      <c r="AH28" s="141">
        <v>25</v>
      </c>
      <c r="AI28" s="141">
        <v>30</v>
      </c>
      <c r="AJ28" s="145">
        <f t="shared" si="3"/>
        <v>85</v>
      </c>
      <c r="AK28" s="140"/>
      <c r="AM28" s="140"/>
      <c r="AN28" s="140"/>
    </row>
    <row r="29" spans="1:40" ht="19.5" customHeight="1">
      <c r="A29" s="143">
        <v>35</v>
      </c>
      <c r="B29" s="144" t="s">
        <v>1279</v>
      </c>
      <c r="C29" s="161" t="s">
        <v>661</v>
      </c>
      <c r="D29" s="166">
        <v>89</v>
      </c>
      <c r="E29" s="116" t="s">
        <v>14</v>
      </c>
      <c r="F29" s="144" t="s">
        <v>855</v>
      </c>
      <c r="G29" s="145">
        <v>72</v>
      </c>
      <c r="H29" s="145">
        <v>90</v>
      </c>
      <c r="I29" s="145">
        <v>92</v>
      </c>
      <c r="J29" s="146">
        <v>80</v>
      </c>
      <c r="K29" s="146">
        <v>84</v>
      </c>
      <c r="L29" s="146">
        <v>90</v>
      </c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>
        <f t="shared" si="0"/>
        <v>508</v>
      </c>
      <c r="Y29" s="145">
        <v>24</v>
      </c>
      <c r="Z29" s="145">
        <v>23</v>
      </c>
      <c r="AA29" s="145">
        <v>25</v>
      </c>
      <c r="AB29" s="141">
        <f t="shared" si="1"/>
        <v>72</v>
      </c>
      <c r="AC29" s="145">
        <v>30</v>
      </c>
      <c r="AD29" s="145">
        <v>30</v>
      </c>
      <c r="AE29" s="145">
        <v>30</v>
      </c>
      <c r="AF29" s="141">
        <f t="shared" si="2"/>
        <v>90</v>
      </c>
      <c r="AG29" s="145">
        <v>30</v>
      </c>
      <c r="AH29" s="145">
        <v>30</v>
      </c>
      <c r="AI29" s="145">
        <v>30</v>
      </c>
      <c r="AJ29" s="145">
        <f t="shared" si="3"/>
        <v>90</v>
      </c>
      <c r="AK29" s="140"/>
      <c r="AM29" s="140"/>
      <c r="AN29" s="140"/>
    </row>
    <row r="30" spans="1:40" ht="19.5" customHeight="1">
      <c r="A30" s="143">
        <v>96</v>
      </c>
      <c r="B30" s="144" t="s">
        <v>1310</v>
      </c>
      <c r="C30" s="161" t="s">
        <v>756</v>
      </c>
      <c r="D30" s="166">
        <v>434</v>
      </c>
      <c r="E30" s="116" t="s">
        <v>854</v>
      </c>
      <c r="F30" s="144" t="s">
        <v>852</v>
      </c>
      <c r="G30" s="145">
        <v>58</v>
      </c>
      <c r="H30" s="145">
        <v>85</v>
      </c>
      <c r="I30" s="145">
        <v>85</v>
      </c>
      <c r="J30" s="146">
        <v>98</v>
      </c>
      <c r="K30" s="146">
        <v>92</v>
      </c>
      <c r="L30" s="146">
        <v>90</v>
      </c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>
        <f t="shared" si="0"/>
        <v>508</v>
      </c>
      <c r="Y30" s="141">
        <v>30</v>
      </c>
      <c r="Z30" s="141">
        <v>25</v>
      </c>
      <c r="AA30" s="141">
        <v>30</v>
      </c>
      <c r="AB30" s="141">
        <f t="shared" si="1"/>
        <v>85</v>
      </c>
      <c r="AC30" s="141">
        <v>30</v>
      </c>
      <c r="AD30" s="141">
        <v>25</v>
      </c>
      <c r="AE30" s="141">
        <v>25</v>
      </c>
      <c r="AF30" s="141">
        <f t="shared" si="2"/>
        <v>80</v>
      </c>
      <c r="AG30" s="141">
        <v>30</v>
      </c>
      <c r="AH30" s="141">
        <v>30</v>
      </c>
      <c r="AI30" s="141">
        <v>28</v>
      </c>
      <c r="AJ30" s="145">
        <f t="shared" si="3"/>
        <v>88</v>
      </c>
      <c r="AK30" s="140"/>
      <c r="AM30" s="140"/>
      <c r="AN30" s="140"/>
    </row>
    <row r="31" spans="1:40" ht="19.5" customHeight="1">
      <c r="A31" s="143">
        <v>48</v>
      </c>
      <c r="B31" s="144" t="s">
        <v>680</v>
      </c>
      <c r="C31" s="151" t="s">
        <v>415</v>
      </c>
      <c r="D31" s="166">
        <v>131</v>
      </c>
      <c r="E31" s="116" t="s">
        <v>854</v>
      </c>
      <c r="F31" s="144" t="s">
        <v>855</v>
      </c>
      <c r="G31" s="145">
        <v>78</v>
      </c>
      <c r="H31" s="145">
        <v>90</v>
      </c>
      <c r="I31" s="145">
        <v>90</v>
      </c>
      <c r="J31" s="146">
        <v>93</v>
      </c>
      <c r="K31" s="146">
        <v>98</v>
      </c>
      <c r="L31" s="146">
        <v>58</v>
      </c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>
        <f t="shared" si="0"/>
        <v>507</v>
      </c>
      <c r="Y31" s="141">
        <v>28</v>
      </c>
      <c r="Z31" s="141">
        <v>30</v>
      </c>
      <c r="AA31" s="141">
        <v>30</v>
      </c>
      <c r="AB31" s="141">
        <f t="shared" si="1"/>
        <v>88</v>
      </c>
      <c r="AC31" s="141">
        <v>30</v>
      </c>
      <c r="AD31" s="141">
        <v>30</v>
      </c>
      <c r="AE31" s="141">
        <v>25</v>
      </c>
      <c r="AF31" s="141">
        <f t="shared" si="2"/>
        <v>85</v>
      </c>
      <c r="AG31" s="141">
        <v>20</v>
      </c>
      <c r="AH31" s="141">
        <v>25</v>
      </c>
      <c r="AI31" s="141">
        <v>25</v>
      </c>
      <c r="AJ31" s="145">
        <f t="shared" si="3"/>
        <v>70</v>
      </c>
      <c r="AK31" s="140"/>
      <c r="AM31" s="140"/>
      <c r="AN31" s="140"/>
    </row>
    <row r="32" spans="1:40" ht="19.5" customHeight="1">
      <c r="A32" s="143">
        <v>42</v>
      </c>
      <c r="B32" s="144" t="s">
        <v>671</v>
      </c>
      <c r="C32" s="151" t="s">
        <v>672</v>
      </c>
      <c r="D32" s="166">
        <v>113</v>
      </c>
      <c r="E32" s="116" t="s">
        <v>854</v>
      </c>
      <c r="F32" s="144" t="s">
        <v>855</v>
      </c>
      <c r="G32" s="145">
        <v>72</v>
      </c>
      <c r="H32" s="145">
        <v>90</v>
      </c>
      <c r="I32" s="145">
        <v>90</v>
      </c>
      <c r="J32" s="146">
        <v>84</v>
      </c>
      <c r="K32" s="146">
        <v>90</v>
      </c>
      <c r="L32" s="146">
        <v>80</v>
      </c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>
        <f t="shared" si="0"/>
        <v>506</v>
      </c>
      <c r="Y32" s="145">
        <v>24</v>
      </c>
      <c r="Z32" s="145">
        <v>25</v>
      </c>
      <c r="AA32" s="145">
        <v>23</v>
      </c>
      <c r="AB32" s="141">
        <f t="shared" si="1"/>
        <v>72</v>
      </c>
      <c r="AC32" s="145">
        <v>30</v>
      </c>
      <c r="AD32" s="145">
        <v>30</v>
      </c>
      <c r="AE32" s="145">
        <v>30</v>
      </c>
      <c r="AF32" s="141">
        <f t="shared" si="2"/>
        <v>90</v>
      </c>
      <c r="AG32" s="145">
        <v>30</v>
      </c>
      <c r="AH32" s="145">
        <v>31</v>
      </c>
      <c r="AI32" s="145">
        <v>31</v>
      </c>
      <c r="AJ32" s="145">
        <f t="shared" si="3"/>
        <v>92</v>
      </c>
      <c r="AK32" s="140"/>
      <c r="AM32" s="140"/>
      <c r="AN32" s="140"/>
    </row>
    <row r="33" spans="1:40" ht="19.5" customHeight="1">
      <c r="A33" s="143">
        <v>7</v>
      </c>
      <c r="B33" s="144" t="s">
        <v>1311</v>
      </c>
      <c r="C33" s="161" t="s">
        <v>622</v>
      </c>
      <c r="D33" s="166">
        <v>31</v>
      </c>
      <c r="E33" s="116" t="s">
        <v>854</v>
      </c>
      <c r="F33" s="144" t="s">
        <v>855</v>
      </c>
      <c r="G33" s="145">
        <v>64</v>
      </c>
      <c r="H33" s="145">
        <v>90</v>
      </c>
      <c r="I33" s="145">
        <v>86</v>
      </c>
      <c r="J33" s="146">
        <v>91</v>
      </c>
      <c r="K33" s="146">
        <v>94</v>
      </c>
      <c r="L33" s="146">
        <v>80</v>
      </c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>
        <f t="shared" si="0"/>
        <v>505</v>
      </c>
      <c r="Y33" s="145">
        <v>25</v>
      </c>
      <c r="Z33" s="145">
        <v>18</v>
      </c>
      <c r="AA33" s="145">
        <v>21</v>
      </c>
      <c r="AB33" s="141">
        <f t="shared" si="1"/>
        <v>64</v>
      </c>
      <c r="AC33" s="145">
        <v>30</v>
      </c>
      <c r="AD33" s="145">
        <v>30</v>
      </c>
      <c r="AE33" s="145">
        <v>30</v>
      </c>
      <c r="AF33" s="141">
        <f t="shared" si="2"/>
        <v>90</v>
      </c>
      <c r="AG33" s="145">
        <v>28</v>
      </c>
      <c r="AH33" s="145">
        <v>25</v>
      </c>
      <c r="AI33" s="145">
        <v>33</v>
      </c>
      <c r="AJ33" s="145">
        <f t="shared" si="3"/>
        <v>86</v>
      </c>
      <c r="AK33" s="140"/>
      <c r="AM33" s="140"/>
      <c r="AN33" s="140"/>
    </row>
    <row r="34" spans="1:40" ht="19.5" customHeight="1">
      <c r="A34" s="143">
        <v>81</v>
      </c>
      <c r="B34" s="144" t="s">
        <v>735</v>
      </c>
      <c r="C34" s="151" t="s">
        <v>736</v>
      </c>
      <c r="D34" s="166">
        <v>365</v>
      </c>
      <c r="E34" s="116" t="s">
        <v>854</v>
      </c>
      <c r="F34" s="144" t="s">
        <v>795</v>
      </c>
      <c r="G34" s="145">
        <v>71</v>
      </c>
      <c r="H34" s="145">
        <v>85</v>
      </c>
      <c r="I34" s="145">
        <v>90</v>
      </c>
      <c r="J34" s="146">
        <v>88</v>
      </c>
      <c r="K34" s="146">
        <v>94</v>
      </c>
      <c r="L34" s="146">
        <v>76</v>
      </c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>
        <f t="shared" si="0"/>
        <v>504</v>
      </c>
      <c r="Y34" s="145">
        <v>27</v>
      </c>
      <c r="Z34" s="145">
        <v>26</v>
      </c>
      <c r="AA34" s="145">
        <v>25</v>
      </c>
      <c r="AB34" s="141">
        <f t="shared" si="1"/>
        <v>78</v>
      </c>
      <c r="AC34" s="145">
        <v>30</v>
      </c>
      <c r="AD34" s="145">
        <v>30</v>
      </c>
      <c r="AE34" s="145">
        <v>30</v>
      </c>
      <c r="AF34" s="141">
        <f t="shared" si="2"/>
        <v>90</v>
      </c>
      <c r="AG34" s="145">
        <v>30</v>
      </c>
      <c r="AH34" s="145">
        <v>30</v>
      </c>
      <c r="AI34" s="145">
        <v>30</v>
      </c>
      <c r="AJ34" s="145">
        <f t="shared" si="3"/>
        <v>90</v>
      </c>
      <c r="AK34" s="140"/>
      <c r="AM34" s="140"/>
      <c r="AN34" s="140"/>
    </row>
    <row r="35" spans="1:40" ht="19.5" customHeight="1">
      <c r="A35" s="143">
        <v>71</v>
      </c>
      <c r="B35" s="144" t="s">
        <v>719</v>
      </c>
      <c r="C35" s="151" t="s">
        <v>718</v>
      </c>
      <c r="D35" s="166">
        <v>275</v>
      </c>
      <c r="E35" s="116" t="s">
        <v>18</v>
      </c>
      <c r="F35" s="144" t="s">
        <v>853</v>
      </c>
      <c r="G35" s="145">
        <v>75</v>
      </c>
      <c r="H35" s="147">
        <v>80</v>
      </c>
      <c r="I35" s="145">
        <v>90</v>
      </c>
      <c r="J35" s="146">
        <v>85</v>
      </c>
      <c r="K35" s="146">
        <v>85</v>
      </c>
      <c r="L35" s="146">
        <v>88</v>
      </c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>
        <f t="shared" ref="X35:X65" si="4">SUM(G35:L35)</f>
        <v>503</v>
      </c>
      <c r="Y35" s="141">
        <v>23</v>
      </c>
      <c r="Z35" s="141">
        <v>20</v>
      </c>
      <c r="AA35" s="141">
        <v>25</v>
      </c>
      <c r="AB35" s="141">
        <f t="shared" ref="AB35:AB65" si="5">SUM(Y35:AA35)</f>
        <v>68</v>
      </c>
      <c r="AC35" s="141">
        <v>15</v>
      </c>
      <c r="AD35" s="141">
        <v>25</v>
      </c>
      <c r="AE35" s="141">
        <v>30</v>
      </c>
      <c r="AF35" s="141">
        <f t="shared" ref="AF35:AF65" si="6">SUM(AC35:AE35)</f>
        <v>70</v>
      </c>
      <c r="AG35" s="141">
        <v>25</v>
      </c>
      <c r="AH35" s="141">
        <v>25</v>
      </c>
      <c r="AI35" s="141">
        <v>23</v>
      </c>
      <c r="AJ35" s="145">
        <f t="shared" ref="AJ35:AJ65" si="7">SUM(AG35:AI35)</f>
        <v>73</v>
      </c>
      <c r="AK35" s="140"/>
      <c r="AM35" s="140"/>
      <c r="AN35" s="140"/>
    </row>
    <row r="36" spans="1:40" ht="19.5" customHeight="1">
      <c r="A36" s="143">
        <v>98</v>
      </c>
      <c r="B36" s="144" t="s">
        <v>1278</v>
      </c>
      <c r="C36" s="161" t="s">
        <v>759</v>
      </c>
      <c r="D36" s="166">
        <v>440</v>
      </c>
      <c r="E36" s="116" t="s">
        <v>20</v>
      </c>
      <c r="F36" s="144" t="s">
        <v>852</v>
      </c>
      <c r="G36" s="145">
        <v>88</v>
      </c>
      <c r="H36" s="147">
        <v>85</v>
      </c>
      <c r="I36" s="145">
        <v>70</v>
      </c>
      <c r="J36" s="146">
        <v>95</v>
      </c>
      <c r="K36" s="146">
        <v>81</v>
      </c>
      <c r="L36" s="146">
        <v>83</v>
      </c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>
        <f t="shared" si="4"/>
        <v>502</v>
      </c>
      <c r="Y36" s="145">
        <v>23</v>
      </c>
      <c r="Z36" s="145">
        <v>22</v>
      </c>
      <c r="AA36" s="145">
        <v>26</v>
      </c>
      <c r="AB36" s="141">
        <f t="shared" si="5"/>
        <v>71</v>
      </c>
      <c r="AC36" s="145">
        <v>30</v>
      </c>
      <c r="AD36" s="145">
        <v>30</v>
      </c>
      <c r="AE36" s="145">
        <v>25</v>
      </c>
      <c r="AF36" s="141">
        <f t="shared" si="6"/>
        <v>85</v>
      </c>
      <c r="AG36" s="141">
        <v>30</v>
      </c>
      <c r="AH36" s="141">
        <v>30</v>
      </c>
      <c r="AI36" s="141">
        <v>30</v>
      </c>
      <c r="AJ36" s="145">
        <f t="shared" si="7"/>
        <v>90</v>
      </c>
      <c r="AK36" s="140"/>
      <c r="AM36" s="140"/>
      <c r="AN36" s="140"/>
    </row>
    <row r="37" spans="1:40" ht="19.5" customHeight="1">
      <c r="A37" s="143">
        <v>47</v>
      </c>
      <c r="B37" s="144" t="s">
        <v>678</v>
      </c>
      <c r="C37" s="151" t="s">
        <v>679</v>
      </c>
      <c r="D37" s="166">
        <v>125</v>
      </c>
      <c r="E37" s="116" t="s">
        <v>14</v>
      </c>
      <c r="F37" s="144" t="s">
        <v>795</v>
      </c>
      <c r="G37" s="145">
        <v>83</v>
      </c>
      <c r="H37" s="145">
        <v>88</v>
      </c>
      <c r="I37" s="145">
        <v>91</v>
      </c>
      <c r="J37" s="146">
        <v>82</v>
      </c>
      <c r="K37" s="146">
        <v>68</v>
      </c>
      <c r="L37" s="146">
        <v>88</v>
      </c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>
        <f t="shared" si="4"/>
        <v>500</v>
      </c>
      <c r="Y37" s="145">
        <v>23</v>
      </c>
      <c r="Z37" s="145">
        <v>22</v>
      </c>
      <c r="AA37" s="145">
        <v>18</v>
      </c>
      <c r="AB37" s="141">
        <f t="shared" si="5"/>
        <v>63</v>
      </c>
      <c r="AC37" s="145">
        <v>30</v>
      </c>
      <c r="AD37" s="145">
        <v>30</v>
      </c>
      <c r="AE37" s="145">
        <v>25</v>
      </c>
      <c r="AF37" s="141">
        <f t="shared" si="6"/>
        <v>85</v>
      </c>
      <c r="AG37" s="145">
        <v>30</v>
      </c>
      <c r="AH37" s="145">
        <v>30</v>
      </c>
      <c r="AI37" s="145">
        <v>30</v>
      </c>
      <c r="AJ37" s="145">
        <f t="shared" si="7"/>
        <v>90</v>
      </c>
      <c r="AK37" s="140"/>
      <c r="AM37" s="140"/>
      <c r="AN37" s="140"/>
    </row>
    <row r="38" spans="1:40" ht="19.5" customHeight="1">
      <c r="A38" s="143">
        <v>99</v>
      </c>
      <c r="B38" s="144" t="s">
        <v>1259</v>
      </c>
      <c r="C38" s="161" t="s">
        <v>760</v>
      </c>
      <c r="D38" s="166">
        <v>448</v>
      </c>
      <c r="E38" s="116" t="s">
        <v>854</v>
      </c>
      <c r="F38" s="144" t="s">
        <v>855</v>
      </c>
      <c r="G38" s="145">
        <v>66</v>
      </c>
      <c r="H38" s="145">
        <v>89</v>
      </c>
      <c r="I38" s="145">
        <v>90</v>
      </c>
      <c r="J38" s="146">
        <v>93</v>
      </c>
      <c r="K38" s="146">
        <v>89</v>
      </c>
      <c r="L38" s="146">
        <v>70</v>
      </c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>
        <f t="shared" si="4"/>
        <v>497</v>
      </c>
      <c r="Y38" s="141">
        <v>25</v>
      </c>
      <c r="Z38" s="141">
        <v>25</v>
      </c>
      <c r="AA38" s="141">
        <v>25</v>
      </c>
      <c r="AB38" s="141">
        <f t="shared" si="5"/>
        <v>75</v>
      </c>
      <c r="AC38" s="141">
        <v>30</v>
      </c>
      <c r="AD38" s="141">
        <v>25</v>
      </c>
      <c r="AE38" s="141">
        <v>25</v>
      </c>
      <c r="AF38" s="141">
        <f t="shared" si="6"/>
        <v>80</v>
      </c>
      <c r="AG38" s="141">
        <v>30</v>
      </c>
      <c r="AH38" s="141">
        <v>30</v>
      </c>
      <c r="AI38" s="141">
        <v>30</v>
      </c>
      <c r="AJ38" s="145">
        <f t="shared" si="7"/>
        <v>90</v>
      </c>
      <c r="AK38" s="140"/>
      <c r="AM38" s="140"/>
      <c r="AN38" s="140"/>
    </row>
    <row r="39" spans="1:40">
      <c r="A39" s="143">
        <v>63</v>
      </c>
      <c r="B39" s="144" t="s">
        <v>704</v>
      </c>
      <c r="C39" s="151" t="s">
        <v>705</v>
      </c>
      <c r="D39" s="166">
        <v>187</v>
      </c>
      <c r="E39" s="116" t="s">
        <v>18</v>
      </c>
      <c r="F39" s="144" t="s">
        <v>853</v>
      </c>
      <c r="G39" s="145">
        <v>70</v>
      </c>
      <c r="H39" s="147">
        <v>65</v>
      </c>
      <c r="I39" s="145">
        <v>83</v>
      </c>
      <c r="J39" s="146">
        <v>98</v>
      </c>
      <c r="K39" s="146">
        <v>93</v>
      </c>
      <c r="L39" s="146">
        <v>87</v>
      </c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>
        <f t="shared" si="4"/>
        <v>496</v>
      </c>
      <c r="Y39" s="145">
        <v>27</v>
      </c>
      <c r="Z39" s="145">
        <v>28</v>
      </c>
      <c r="AA39" s="145">
        <v>28</v>
      </c>
      <c r="AB39" s="141">
        <f t="shared" si="5"/>
        <v>83</v>
      </c>
      <c r="AC39" s="145">
        <v>28</v>
      </c>
      <c r="AD39" s="145">
        <v>30</v>
      </c>
      <c r="AE39" s="145">
        <v>30</v>
      </c>
      <c r="AF39" s="141">
        <f t="shared" si="6"/>
        <v>88</v>
      </c>
      <c r="AG39" s="145">
        <v>30</v>
      </c>
      <c r="AH39" s="145">
        <v>30</v>
      </c>
      <c r="AI39" s="145">
        <v>31</v>
      </c>
      <c r="AJ39" s="145">
        <f t="shared" si="7"/>
        <v>91</v>
      </c>
      <c r="AK39" s="140"/>
      <c r="AM39" s="140"/>
      <c r="AN39" s="140"/>
    </row>
    <row r="40" spans="1:40" ht="19.5" customHeight="1">
      <c r="A40" s="143">
        <v>80</v>
      </c>
      <c r="B40" s="144" t="s">
        <v>733</v>
      </c>
      <c r="C40" s="151" t="s">
        <v>734</v>
      </c>
      <c r="D40" s="166">
        <v>364</v>
      </c>
      <c r="E40" s="116" t="s">
        <v>854</v>
      </c>
      <c r="F40" s="144" t="s">
        <v>795</v>
      </c>
      <c r="G40" s="145">
        <v>73</v>
      </c>
      <c r="H40" s="145">
        <v>90</v>
      </c>
      <c r="I40" s="145">
        <v>70</v>
      </c>
      <c r="J40" s="146">
        <v>96</v>
      </c>
      <c r="K40" s="146">
        <v>96</v>
      </c>
      <c r="L40" s="146">
        <v>71</v>
      </c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>
        <f t="shared" si="4"/>
        <v>496</v>
      </c>
      <c r="Y40" s="145">
        <v>24</v>
      </c>
      <c r="Z40" s="145">
        <v>22</v>
      </c>
      <c r="AA40" s="145">
        <v>20</v>
      </c>
      <c r="AB40" s="141">
        <f t="shared" si="5"/>
        <v>66</v>
      </c>
      <c r="AC40" s="145">
        <v>30</v>
      </c>
      <c r="AD40" s="145">
        <v>30</v>
      </c>
      <c r="AE40" s="145">
        <v>29</v>
      </c>
      <c r="AF40" s="141">
        <f t="shared" si="6"/>
        <v>89</v>
      </c>
      <c r="AG40" s="141">
        <v>30</v>
      </c>
      <c r="AH40" s="141">
        <v>30</v>
      </c>
      <c r="AI40" s="141">
        <v>30</v>
      </c>
      <c r="AJ40" s="145">
        <f t="shared" si="7"/>
        <v>90</v>
      </c>
      <c r="AK40" s="140"/>
      <c r="AM40" s="140"/>
      <c r="AN40" s="140"/>
    </row>
    <row r="41" spans="1:40" ht="19.5" customHeight="1">
      <c r="A41" s="143">
        <v>114</v>
      </c>
      <c r="B41" s="144" t="s">
        <v>778</v>
      </c>
      <c r="C41" s="151" t="s">
        <v>598</v>
      </c>
      <c r="D41" s="166">
        <v>12</v>
      </c>
      <c r="E41" s="116" t="s">
        <v>16</v>
      </c>
      <c r="F41" s="144" t="s">
        <v>852</v>
      </c>
      <c r="G41" s="145">
        <v>68</v>
      </c>
      <c r="H41" s="145">
        <v>70</v>
      </c>
      <c r="I41" s="145">
        <v>73</v>
      </c>
      <c r="J41" s="146">
        <v>97</v>
      </c>
      <c r="K41" s="146">
        <v>98</v>
      </c>
      <c r="L41" s="146">
        <v>90</v>
      </c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>
        <f t="shared" si="4"/>
        <v>496</v>
      </c>
      <c r="Y41" s="141">
        <v>20</v>
      </c>
      <c r="Z41" s="141">
        <v>25</v>
      </c>
      <c r="AA41" s="141">
        <v>25</v>
      </c>
      <c r="AB41" s="141">
        <f t="shared" si="5"/>
        <v>70</v>
      </c>
      <c r="AC41" s="141">
        <v>25</v>
      </c>
      <c r="AD41" s="141">
        <v>20</v>
      </c>
      <c r="AE41" s="141">
        <v>20</v>
      </c>
      <c r="AF41" s="141">
        <f t="shared" si="6"/>
        <v>65</v>
      </c>
      <c r="AG41" s="141">
        <v>28</v>
      </c>
      <c r="AH41" s="141">
        <v>25</v>
      </c>
      <c r="AI41" s="141">
        <v>30</v>
      </c>
      <c r="AJ41" s="145">
        <f t="shared" si="7"/>
        <v>83</v>
      </c>
      <c r="AK41" s="140"/>
      <c r="AM41" s="140"/>
      <c r="AN41" s="140"/>
    </row>
    <row r="42" spans="1:40">
      <c r="A42" s="143">
        <v>12</v>
      </c>
      <c r="B42" s="144" t="s">
        <v>630</v>
      </c>
      <c r="C42" s="151" t="s">
        <v>631</v>
      </c>
      <c r="D42" s="168">
        <v>38</v>
      </c>
      <c r="E42" s="151" t="s">
        <v>854</v>
      </c>
      <c r="F42" s="10" t="s">
        <v>855</v>
      </c>
      <c r="G42" s="145">
        <v>63</v>
      </c>
      <c r="H42" s="145">
        <v>85</v>
      </c>
      <c r="I42" s="145">
        <v>90</v>
      </c>
      <c r="J42" s="146">
        <v>83</v>
      </c>
      <c r="K42" s="146">
        <v>95</v>
      </c>
      <c r="L42" s="146">
        <v>78</v>
      </c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>
        <f t="shared" si="4"/>
        <v>494</v>
      </c>
      <c r="Y42" s="145">
        <v>26</v>
      </c>
      <c r="Z42" s="145">
        <v>25</v>
      </c>
      <c r="AA42" s="145">
        <v>22</v>
      </c>
      <c r="AB42" s="141">
        <f t="shared" si="5"/>
        <v>73</v>
      </c>
      <c r="AC42" s="145">
        <v>30</v>
      </c>
      <c r="AD42" s="145">
        <v>30</v>
      </c>
      <c r="AE42" s="145">
        <v>30</v>
      </c>
      <c r="AF42" s="141">
        <f t="shared" si="6"/>
        <v>90</v>
      </c>
      <c r="AG42" s="141">
        <v>30</v>
      </c>
      <c r="AH42" s="141">
        <v>20</v>
      </c>
      <c r="AI42" s="141">
        <v>20</v>
      </c>
      <c r="AJ42" s="145">
        <f t="shared" si="7"/>
        <v>70</v>
      </c>
      <c r="AK42" s="140"/>
      <c r="AM42" s="140"/>
      <c r="AN42" s="140"/>
    </row>
    <row r="43" spans="1:40" ht="19.5" customHeight="1">
      <c r="A43" s="143">
        <v>56</v>
      </c>
      <c r="B43" s="144" t="s">
        <v>693</v>
      </c>
      <c r="C43" s="151" t="s">
        <v>694</v>
      </c>
      <c r="D43" s="166">
        <v>163</v>
      </c>
      <c r="E43" s="116" t="s">
        <v>854</v>
      </c>
      <c r="F43" s="144" t="s">
        <v>795</v>
      </c>
      <c r="G43" s="145">
        <v>52</v>
      </c>
      <c r="H43" s="145">
        <v>89</v>
      </c>
      <c r="I43" s="145">
        <v>83</v>
      </c>
      <c r="J43" s="146">
        <v>94</v>
      </c>
      <c r="K43" s="146">
        <v>79</v>
      </c>
      <c r="L43" s="146">
        <v>97</v>
      </c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>
        <f t="shared" si="4"/>
        <v>494</v>
      </c>
      <c r="Y43" s="145">
        <v>19</v>
      </c>
      <c r="Z43" s="145">
        <v>16</v>
      </c>
      <c r="AA43" s="145">
        <v>17</v>
      </c>
      <c r="AB43" s="141">
        <f t="shared" si="5"/>
        <v>52</v>
      </c>
      <c r="AC43" s="145">
        <v>30</v>
      </c>
      <c r="AD43" s="145">
        <v>30</v>
      </c>
      <c r="AE43" s="145">
        <v>29</v>
      </c>
      <c r="AF43" s="141">
        <f t="shared" si="6"/>
        <v>89</v>
      </c>
      <c r="AG43" s="145">
        <v>30</v>
      </c>
      <c r="AH43" s="145">
        <v>25</v>
      </c>
      <c r="AI43" s="145">
        <v>28</v>
      </c>
      <c r="AJ43" s="145">
        <f t="shared" si="7"/>
        <v>83</v>
      </c>
      <c r="AK43" s="140"/>
      <c r="AM43" s="140"/>
      <c r="AN43" s="140"/>
    </row>
    <row r="44" spans="1:40" ht="19.5" customHeight="1">
      <c r="A44" s="143">
        <v>15</v>
      </c>
      <c r="B44" s="144" t="s">
        <v>635</v>
      </c>
      <c r="C44" s="151" t="s">
        <v>636</v>
      </c>
      <c r="D44" s="166">
        <v>47</v>
      </c>
      <c r="E44" s="116" t="s">
        <v>16</v>
      </c>
      <c r="F44" s="144" t="s">
        <v>795</v>
      </c>
      <c r="G44" s="145">
        <v>81</v>
      </c>
      <c r="H44" s="145">
        <v>95</v>
      </c>
      <c r="I44" s="145">
        <v>85</v>
      </c>
      <c r="J44" s="146">
        <v>60</v>
      </c>
      <c r="K44" s="146">
        <v>98</v>
      </c>
      <c r="L44" s="146">
        <v>69</v>
      </c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>
        <f t="shared" si="4"/>
        <v>488</v>
      </c>
      <c r="Y44" s="141">
        <v>25</v>
      </c>
      <c r="Z44" s="141">
        <v>25</v>
      </c>
      <c r="AA44" s="141">
        <v>28</v>
      </c>
      <c r="AB44" s="149">
        <f t="shared" si="5"/>
        <v>78</v>
      </c>
      <c r="AC44" s="141">
        <v>15</v>
      </c>
      <c r="AD44" s="141">
        <v>15</v>
      </c>
      <c r="AE44" s="141">
        <v>15</v>
      </c>
      <c r="AF44" s="141">
        <f t="shared" si="6"/>
        <v>45</v>
      </c>
      <c r="AG44" s="141">
        <v>30</v>
      </c>
      <c r="AH44" s="141">
        <v>30</v>
      </c>
      <c r="AI44" s="141">
        <v>30</v>
      </c>
      <c r="AJ44" s="145">
        <f t="shared" si="7"/>
        <v>90</v>
      </c>
      <c r="AK44" s="140"/>
      <c r="AM44" s="140"/>
      <c r="AN44" s="140"/>
    </row>
    <row r="45" spans="1:40">
      <c r="A45" s="143">
        <v>104</v>
      </c>
      <c r="B45" s="144" t="s">
        <v>459</v>
      </c>
      <c r="C45" s="151" t="s">
        <v>765</v>
      </c>
      <c r="D45" s="166">
        <v>468</v>
      </c>
      <c r="E45" s="116" t="s">
        <v>19</v>
      </c>
      <c r="F45" s="144" t="s">
        <v>856</v>
      </c>
      <c r="G45" s="145">
        <v>86</v>
      </c>
      <c r="H45" s="145">
        <v>89</v>
      </c>
      <c r="I45" s="145">
        <v>78</v>
      </c>
      <c r="J45" s="146">
        <v>77</v>
      </c>
      <c r="K45" s="146">
        <v>74</v>
      </c>
      <c r="L45" s="146">
        <v>84</v>
      </c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>
        <f t="shared" si="4"/>
        <v>488</v>
      </c>
      <c r="Y45" s="141">
        <v>26</v>
      </c>
      <c r="Z45" s="141">
        <v>27</v>
      </c>
      <c r="AA45" s="141">
        <v>28</v>
      </c>
      <c r="AB45" s="141">
        <f t="shared" si="5"/>
        <v>81</v>
      </c>
      <c r="AC45" s="141">
        <v>33</v>
      </c>
      <c r="AD45" s="141">
        <v>30</v>
      </c>
      <c r="AE45" s="141">
        <v>32</v>
      </c>
      <c r="AF45" s="141">
        <f t="shared" si="6"/>
        <v>95</v>
      </c>
      <c r="AG45" s="141">
        <v>30</v>
      </c>
      <c r="AH45" s="141">
        <v>25</v>
      </c>
      <c r="AI45" s="141">
        <v>30</v>
      </c>
      <c r="AJ45" s="145">
        <f t="shared" si="7"/>
        <v>85</v>
      </c>
      <c r="AK45" s="140"/>
      <c r="AM45" s="140"/>
      <c r="AN45" s="140"/>
    </row>
    <row r="46" spans="1:40" ht="19.5" customHeight="1">
      <c r="A46" s="143">
        <v>118</v>
      </c>
      <c r="B46" s="144" t="s">
        <v>784</v>
      </c>
      <c r="C46" s="151" t="s">
        <v>785</v>
      </c>
      <c r="D46" s="166">
        <v>51</v>
      </c>
      <c r="E46" s="116" t="s">
        <v>18</v>
      </c>
      <c r="F46" s="144" t="s">
        <v>853</v>
      </c>
      <c r="G46" s="145">
        <v>80</v>
      </c>
      <c r="H46" s="147">
        <v>75</v>
      </c>
      <c r="I46" s="145">
        <v>65</v>
      </c>
      <c r="J46" s="146">
        <v>85</v>
      </c>
      <c r="K46" s="146">
        <v>87</v>
      </c>
      <c r="L46" s="146">
        <v>96</v>
      </c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>
        <f t="shared" si="4"/>
        <v>488</v>
      </c>
      <c r="Y46" s="141">
        <v>28</v>
      </c>
      <c r="Z46" s="141">
        <v>28</v>
      </c>
      <c r="AA46" s="141">
        <v>30</v>
      </c>
      <c r="AB46" s="141">
        <f t="shared" si="5"/>
        <v>86</v>
      </c>
      <c r="AC46" s="141">
        <v>33</v>
      </c>
      <c r="AD46" s="141">
        <v>26</v>
      </c>
      <c r="AE46" s="141">
        <v>30</v>
      </c>
      <c r="AF46" s="141">
        <f t="shared" si="6"/>
        <v>89</v>
      </c>
      <c r="AG46" s="141">
        <v>28</v>
      </c>
      <c r="AH46" s="141">
        <v>30</v>
      </c>
      <c r="AI46" s="141">
        <v>20</v>
      </c>
      <c r="AJ46" s="145">
        <f t="shared" si="7"/>
        <v>78</v>
      </c>
      <c r="AK46" s="140"/>
      <c r="AM46" s="140"/>
      <c r="AN46" s="140"/>
    </row>
    <row r="47" spans="1:40">
      <c r="A47" s="143">
        <v>101</v>
      </c>
      <c r="B47" s="144" t="s">
        <v>1261</v>
      </c>
      <c r="C47" s="161" t="s">
        <v>761</v>
      </c>
      <c r="D47" s="166">
        <v>450</v>
      </c>
      <c r="E47" s="116" t="s">
        <v>16</v>
      </c>
      <c r="F47" s="144" t="s">
        <v>856</v>
      </c>
      <c r="G47" s="145">
        <v>62</v>
      </c>
      <c r="H47" s="145">
        <v>93</v>
      </c>
      <c r="I47" s="145">
        <v>90</v>
      </c>
      <c r="J47" s="146">
        <v>62</v>
      </c>
      <c r="K47" s="146">
        <v>91</v>
      </c>
      <c r="L47" s="146">
        <v>86</v>
      </c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>
        <f t="shared" si="4"/>
        <v>484</v>
      </c>
      <c r="Y47" s="141">
        <v>25</v>
      </c>
      <c r="Z47" s="141">
        <v>25</v>
      </c>
      <c r="AA47" s="141">
        <v>30</v>
      </c>
      <c r="AB47" s="141">
        <f t="shared" si="5"/>
        <v>80</v>
      </c>
      <c r="AC47" s="141">
        <v>25</v>
      </c>
      <c r="AD47" s="141">
        <v>25</v>
      </c>
      <c r="AE47" s="141">
        <v>25</v>
      </c>
      <c r="AF47" s="141">
        <f t="shared" si="6"/>
        <v>75</v>
      </c>
      <c r="AG47" s="141">
        <v>20</v>
      </c>
      <c r="AH47" s="141">
        <v>25</v>
      </c>
      <c r="AI47" s="141">
        <v>20</v>
      </c>
      <c r="AJ47" s="145">
        <f t="shared" si="7"/>
        <v>65</v>
      </c>
      <c r="AK47" s="140"/>
      <c r="AM47" s="140"/>
      <c r="AN47" s="140"/>
    </row>
    <row r="48" spans="1:40" ht="19.5" customHeight="1">
      <c r="A48" s="143">
        <v>44</v>
      </c>
      <c r="B48" s="144" t="s">
        <v>1277</v>
      </c>
      <c r="C48" s="151" t="s">
        <v>674</v>
      </c>
      <c r="D48" s="166">
        <v>404</v>
      </c>
      <c r="E48" s="116" t="s">
        <v>854</v>
      </c>
      <c r="F48" s="144" t="s">
        <v>855</v>
      </c>
      <c r="G48" s="145">
        <v>57</v>
      </c>
      <c r="H48" s="145">
        <v>85</v>
      </c>
      <c r="I48" s="145">
        <v>75</v>
      </c>
      <c r="J48" s="146">
        <v>88</v>
      </c>
      <c r="K48" s="146">
        <v>88</v>
      </c>
      <c r="L48" s="146">
        <v>90</v>
      </c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>
        <f t="shared" si="4"/>
        <v>483</v>
      </c>
      <c r="Y48" s="141">
        <v>20</v>
      </c>
      <c r="Z48" s="141">
        <v>25</v>
      </c>
      <c r="AA48" s="141">
        <v>25</v>
      </c>
      <c r="AB48" s="141">
        <f t="shared" si="5"/>
        <v>70</v>
      </c>
      <c r="AC48" s="141">
        <v>20</v>
      </c>
      <c r="AD48" s="141">
        <v>20</v>
      </c>
      <c r="AE48" s="141">
        <v>18</v>
      </c>
      <c r="AF48" s="141">
        <f t="shared" si="6"/>
        <v>58</v>
      </c>
      <c r="AG48" s="145">
        <v>30</v>
      </c>
      <c r="AH48" s="145">
        <v>30</v>
      </c>
      <c r="AI48" s="145">
        <v>20</v>
      </c>
      <c r="AJ48" s="145">
        <f t="shared" si="7"/>
        <v>80</v>
      </c>
      <c r="AK48" s="140"/>
      <c r="AM48" s="140"/>
      <c r="AN48" s="140"/>
    </row>
    <row r="49" spans="1:40" ht="19.5" customHeight="1">
      <c r="A49" s="143">
        <v>82</v>
      </c>
      <c r="B49" s="144" t="s">
        <v>737</v>
      </c>
      <c r="C49" s="151" t="s">
        <v>738</v>
      </c>
      <c r="D49" s="166">
        <v>370</v>
      </c>
      <c r="E49" s="116" t="s">
        <v>854</v>
      </c>
      <c r="F49" s="144" t="s">
        <v>855</v>
      </c>
      <c r="G49" s="145">
        <v>69</v>
      </c>
      <c r="H49" s="145">
        <v>80</v>
      </c>
      <c r="I49" s="145">
        <v>83</v>
      </c>
      <c r="J49" s="146">
        <v>93</v>
      </c>
      <c r="K49" s="146">
        <v>89</v>
      </c>
      <c r="L49" s="146">
        <v>68</v>
      </c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>
        <f t="shared" si="4"/>
        <v>482</v>
      </c>
      <c r="Y49" s="141">
        <v>17</v>
      </c>
      <c r="Z49" s="141">
        <v>22</v>
      </c>
      <c r="AA49" s="141">
        <v>23</v>
      </c>
      <c r="AB49" s="141">
        <f t="shared" si="5"/>
        <v>62</v>
      </c>
      <c r="AC49" s="141">
        <v>33</v>
      </c>
      <c r="AD49" s="141">
        <v>32</v>
      </c>
      <c r="AE49" s="141">
        <v>28</v>
      </c>
      <c r="AF49" s="141">
        <f t="shared" si="6"/>
        <v>93</v>
      </c>
      <c r="AG49" s="141">
        <v>30</v>
      </c>
      <c r="AH49" s="141">
        <v>30</v>
      </c>
      <c r="AI49" s="141">
        <v>30</v>
      </c>
      <c r="AJ49" s="145">
        <f t="shared" si="7"/>
        <v>90</v>
      </c>
      <c r="AK49" s="140"/>
      <c r="AM49" s="140"/>
      <c r="AN49" s="140"/>
    </row>
    <row r="50" spans="1:40" ht="19.5" customHeight="1">
      <c r="A50" s="143">
        <v>21</v>
      </c>
      <c r="B50" s="144" t="s">
        <v>646</v>
      </c>
      <c r="C50" s="151" t="s">
        <v>647</v>
      </c>
      <c r="D50" s="166">
        <v>56</v>
      </c>
      <c r="E50" s="116" t="s">
        <v>20</v>
      </c>
      <c r="F50" s="144" t="s">
        <v>852</v>
      </c>
      <c r="G50" s="145">
        <v>78</v>
      </c>
      <c r="H50" s="147">
        <v>45</v>
      </c>
      <c r="I50" s="145">
        <v>90</v>
      </c>
      <c r="J50" s="146">
        <v>96</v>
      </c>
      <c r="K50" s="146">
        <v>82</v>
      </c>
      <c r="L50" s="146">
        <v>88</v>
      </c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>
        <f t="shared" si="4"/>
        <v>479</v>
      </c>
      <c r="Y50" s="145">
        <v>20</v>
      </c>
      <c r="Z50" s="145">
        <v>20</v>
      </c>
      <c r="AA50" s="145">
        <v>17</v>
      </c>
      <c r="AB50" s="141">
        <f t="shared" si="5"/>
        <v>57</v>
      </c>
      <c r="AC50" s="145">
        <v>30</v>
      </c>
      <c r="AD50" s="145">
        <v>25</v>
      </c>
      <c r="AE50" s="145">
        <v>30</v>
      </c>
      <c r="AF50" s="141">
        <f t="shared" si="6"/>
        <v>85</v>
      </c>
      <c r="AG50" s="145">
        <v>30</v>
      </c>
      <c r="AH50" s="145">
        <v>25</v>
      </c>
      <c r="AI50" s="145">
        <v>20</v>
      </c>
      <c r="AJ50" s="145">
        <f t="shared" si="7"/>
        <v>75</v>
      </c>
      <c r="AK50" s="140"/>
      <c r="AM50" s="140"/>
      <c r="AN50" s="140"/>
    </row>
    <row r="51" spans="1:40">
      <c r="A51" s="143">
        <v>5</v>
      </c>
      <c r="B51" s="144" t="s">
        <v>618</v>
      </c>
      <c r="C51" s="151" t="s">
        <v>619</v>
      </c>
      <c r="D51" s="166">
        <v>24</v>
      </c>
      <c r="E51" s="116" t="s">
        <v>16</v>
      </c>
      <c r="F51" s="144" t="s">
        <v>795</v>
      </c>
      <c r="G51" s="145">
        <v>76</v>
      </c>
      <c r="H51" s="145">
        <v>91</v>
      </c>
      <c r="I51" s="145">
        <v>77</v>
      </c>
      <c r="J51" s="146">
        <v>46</v>
      </c>
      <c r="K51" s="146">
        <v>89</v>
      </c>
      <c r="L51" s="146">
        <v>98</v>
      </c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>
        <f t="shared" si="4"/>
        <v>477</v>
      </c>
      <c r="Y51" s="145">
        <v>25</v>
      </c>
      <c r="Z51" s="145">
        <v>24</v>
      </c>
      <c r="AA51" s="145">
        <v>20</v>
      </c>
      <c r="AB51" s="141">
        <f t="shared" si="5"/>
        <v>69</v>
      </c>
      <c r="AC51" s="145">
        <v>20</v>
      </c>
      <c r="AD51" s="145">
        <v>30</v>
      </c>
      <c r="AE51" s="145">
        <v>30</v>
      </c>
      <c r="AF51" s="141">
        <f t="shared" si="6"/>
        <v>80</v>
      </c>
      <c r="AG51" s="141">
        <v>30</v>
      </c>
      <c r="AH51" s="141">
        <v>28</v>
      </c>
      <c r="AI51" s="141">
        <v>25</v>
      </c>
      <c r="AJ51" s="145">
        <f t="shared" si="7"/>
        <v>83</v>
      </c>
      <c r="AK51" s="140"/>
      <c r="AM51" s="140"/>
      <c r="AN51" s="140"/>
    </row>
    <row r="52" spans="1:40">
      <c r="A52" s="143">
        <v>6</v>
      </c>
      <c r="B52" s="144" t="s">
        <v>620</v>
      </c>
      <c r="C52" s="151" t="s">
        <v>621</v>
      </c>
      <c r="D52" s="166">
        <v>28</v>
      </c>
      <c r="E52" s="116" t="s">
        <v>18</v>
      </c>
      <c r="F52" s="144" t="s">
        <v>853</v>
      </c>
      <c r="G52" s="145">
        <v>80</v>
      </c>
      <c r="H52" s="147">
        <v>75</v>
      </c>
      <c r="I52" s="145">
        <v>65</v>
      </c>
      <c r="J52" s="146">
        <v>85</v>
      </c>
      <c r="K52" s="146">
        <v>84</v>
      </c>
      <c r="L52" s="146">
        <v>88</v>
      </c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>
        <f t="shared" si="4"/>
        <v>477</v>
      </c>
      <c r="Y52" s="141">
        <v>25</v>
      </c>
      <c r="Z52" s="141">
        <v>29</v>
      </c>
      <c r="AA52" s="141">
        <v>22</v>
      </c>
      <c r="AB52" s="141">
        <f t="shared" si="5"/>
        <v>76</v>
      </c>
      <c r="AC52" s="141">
        <v>30</v>
      </c>
      <c r="AD52" s="141">
        <v>31</v>
      </c>
      <c r="AE52" s="141">
        <v>30</v>
      </c>
      <c r="AF52" s="141">
        <f t="shared" si="6"/>
        <v>91</v>
      </c>
      <c r="AG52" s="141">
        <v>25</v>
      </c>
      <c r="AH52" s="141">
        <v>25</v>
      </c>
      <c r="AI52" s="141">
        <v>27</v>
      </c>
      <c r="AJ52" s="145">
        <f t="shared" si="7"/>
        <v>77</v>
      </c>
      <c r="AK52" s="140"/>
      <c r="AM52" s="140"/>
      <c r="AN52" s="140"/>
    </row>
    <row r="53" spans="1:40" ht="19.5" customHeight="1">
      <c r="A53" s="143">
        <v>43</v>
      </c>
      <c r="B53" s="144" t="s">
        <v>1260</v>
      </c>
      <c r="C53" s="161" t="s">
        <v>673</v>
      </c>
      <c r="D53" s="166">
        <v>116</v>
      </c>
      <c r="E53" s="116" t="s">
        <v>20</v>
      </c>
      <c r="F53" s="144" t="s">
        <v>852</v>
      </c>
      <c r="G53" s="145">
        <v>70</v>
      </c>
      <c r="H53" s="147">
        <v>58</v>
      </c>
      <c r="I53" s="145">
        <v>80</v>
      </c>
      <c r="J53" s="146">
        <v>98</v>
      </c>
      <c r="K53" s="146">
        <v>80</v>
      </c>
      <c r="L53" s="146">
        <v>90</v>
      </c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>
        <f t="shared" si="4"/>
        <v>476</v>
      </c>
      <c r="Y53" s="141">
        <v>30</v>
      </c>
      <c r="Z53" s="141">
        <v>30</v>
      </c>
      <c r="AA53" s="141">
        <v>28</v>
      </c>
      <c r="AB53" s="141">
        <f t="shared" si="5"/>
        <v>88</v>
      </c>
      <c r="AC53" s="141">
        <v>15</v>
      </c>
      <c r="AD53" s="141">
        <v>33</v>
      </c>
      <c r="AE53" s="141">
        <v>30</v>
      </c>
      <c r="AF53" s="141">
        <f t="shared" si="6"/>
        <v>78</v>
      </c>
      <c r="AG53" s="141">
        <v>25</v>
      </c>
      <c r="AH53" s="141">
        <v>30</v>
      </c>
      <c r="AI53" s="141">
        <v>30</v>
      </c>
      <c r="AJ53" s="145">
        <f t="shared" si="7"/>
        <v>85</v>
      </c>
      <c r="AK53" s="140"/>
      <c r="AM53" s="140"/>
      <c r="AN53" s="140"/>
    </row>
    <row r="54" spans="1:40">
      <c r="A54" s="143">
        <v>52</v>
      </c>
      <c r="B54" s="144" t="s">
        <v>685</v>
      </c>
      <c r="C54" s="151" t="s">
        <v>686</v>
      </c>
      <c r="D54" s="168">
        <v>147</v>
      </c>
      <c r="E54" s="151" t="s">
        <v>14</v>
      </c>
      <c r="F54" s="144" t="s">
        <v>795</v>
      </c>
      <c r="G54" s="145">
        <v>58</v>
      </c>
      <c r="H54" s="145">
        <v>75</v>
      </c>
      <c r="I54" s="145">
        <v>85</v>
      </c>
      <c r="J54" s="146">
        <v>91</v>
      </c>
      <c r="K54" s="146">
        <v>68</v>
      </c>
      <c r="L54" s="146">
        <v>97</v>
      </c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>
        <f t="shared" si="4"/>
        <v>474</v>
      </c>
      <c r="Y54" s="145">
        <v>20</v>
      </c>
      <c r="Z54" s="145">
        <v>20</v>
      </c>
      <c r="AA54" s="145">
        <v>16</v>
      </c>
      <c r="AB54" s="141">
        <f t="shared" si="5"/>
        <v>56</v>
      </c>
      <c r="AC54" s="145">
        <v>30</v>
      </c>
      <c r="AD54" s="145">
        <v>30</v>
      </c>
      <c r="AE54" s="145">
        <v>29</v>
      </c>
      <c r="AF54" s="141">
        <f t="shared" si="6"/>
        <v>89</v>
      </c>
      <c r="AG54" s="145">
        <v>30</v>
      </c>
      <c r="AH54" s="145">
        <v>30</v>
      </c>
      <c r="AI54" s="145">
        <v>30</v>
      </c>
      <c r="AJ54" s="145">
        <f t="shared" si="7"/>
        <v>90</v>
      </c>
      <c r="AK54" s="140"/>
      <c r="AM54" s="140"/>
      <c r="AN54" s="140"/>
    </row>
    <row r="55" spans="1:40" ht="19.5" customHeight="1">
      <c r="A55" s="143">
        <v>74</v>
      </c>
      <c r="B55" s="144" t="s">
        <v>723</v>
      </c>
      <c r="C55" s="151" t="s">
        <v>722</v>
      </c>
      <c r="D55" s="166">
        <v>342</v>
      </c>
      <c r="E55" s="116" t="s">
        <v>18</v>
      </c>
      <c r="F55" s="144" t="s">
        <v>853</v>
      </c>
      <c r="G55" s="145">
        <v>58</v>
      </c>
      <c r="H55" s="147">
        <v>80</v>
      </c>
      <c r="I55" s="145">
        <v>65</v>
      </c>
      <c r="J55" s="146">
        <v>98</v>
      </c>
      <c r="K55" s="146">
        <v>86</v>
      </c>
      <c r="L55" s="146">
        <v>86</v>
      </c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>
        <f t="shared" si="4"/>
        <v>473</v>
      </c>
      <c r="Y55" s="145">
        <v>20</v>
      </c>
      <c r="Z55" s="145">
        <v>19</v>
      </c>
      <c r="AA55" s="145">
        <v>19</v>
      </c>
      <c r="AB55" s="141">
        <f t="shared" si="5"/>
        <v>58</v>
      </c>
      <c r="AC55" s="145">
        <v>15</v>
      </c>
      <c r="AD55" s="145">
        <v>30</v>
      </c>
      <c r="AE55" s="145">
        <v>30</v>
      </c>
      <c r="AF55" s="141">
        <f t="shared" si="6"/>
        <v>75</v>
      </c>
      <c r="AG55" s="145">
        <v>30</v>
      </c>
      <c r="AH55" s="145">
        <v>30</v>
      </c>
      <c r="AI55" s="145">
        <v>25</v>
      </c>
      <c r="AJ55" s="145">
        <f t="shared" si="7"/>
        <v>85</v>
      </c>
      <c r="AK55" s="140"/>
      <c r="AM55" s="140"/>
      <c r="AN55" s="140"/>
    </row>
    <row r="56" spans="1:40" ht="19.5" customHeight="1">
      <c r="A56" s="143">
        <v>26</v>
      </c>
      <c r="B56" s="144" t="s">
        <v>1276</v>
      </c>
      <c r="C56" s="161" t="s">
        <v>650</v>
      </c>
      <c r="D56" s="166">
        <v>63</v>
      </c>
      <c r="E56" s="116" t="s">
        <v>14</v>
      </c>
      <c r="F56" s="144" t="s">
        <v>855</v>
      </c>
      <c r="G56" s="145">
        <v>56</v>
      </c>
      <c r="H56" s="145">
        <v>89</v>
      </c>
      <c r="I56" s="145">
        <v>90</v>
      </c>
      <c r="J56" s="146">
        <v>89</v>
      </c>
      <c r="K56" s="146">
        <v>92</v>
      </c>
      <c r="L56" s="146">
        <v>54</v>
      </c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>
        <f t="shared" si="4"/>
        <v>470</v>
      </c>
      <c r="Y56" s="141">
        <v>30</v>
      </c>
      <c r="Z56" s="141">
        <v>25</v>
      </c>
      <c r="AA56" s="141">
        <v>25</v>
      </c>
      <c r="AB56" s="141">
        <f t="shared" si="5"/>
        <v>80</v>
      </c>
      <c r="AC56" s="141">
        <v>25</v>
      </c>
      <c r="AD56" s="141">
        <v>25</v>
      </c>
      <c r="AE56" s="141">
        <v>30</v>
      </c>
      <c r="AF56" s="141">
        <f t="shared" si="6"/>
        <v>80</v>
      </c>
      <c r="AG56" s="141">
        <v>25</v>
      </c>
      <c r="AH56" s="141">
        <v>30</v>
      </c>
      <c r="AI56" s="141">
        <v>25</v>
      </c>
      <c r="AJ56" s="145">
        <f t="shared" si="7"/>
        <v>80</v>
      </c>
      <c r="AK56" s="140"/>
      <c r="AM56" s="140"/>
      <c r="AN56" s="140"/>
    </row>
    <row r="57" spans="1:40" ht="19.5" customHeight="1">
      <c r="A57" s="143">
        <v>78</v>
      </c>
      <c r="B57" s="144" t="s">
        <v>729</v>
      </c>
      <c r="C57" s="151" t="s">
        <v>730</v>
      </c>
      <c r="D57" s="166">
        <v>358</v>
      </c>
      <c r="E57" s="116" t="s">
        <v>14</v>
      </c>
      <c r="F57" s="144" t="s">
        <v>856</v>
      </c>
      <c r="G57" s="145">
        <v>69</v>
      </c>
      <c r="H57" s="145">
        <v>75</v>
      </c>
      <c r="I57" s="145">
        <v>85</v>
      </c>
      <c r="J57" s="146">
        <v>74</v>
      </c>
      <c r="K57" s="146">
        <v>67</v>
      </c>
      <c r="L57" s="146">
        <v>98</v>
      </c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>
        <f t="shared" si="4"/>
        <v>468</v>
      </c>
      <c r="Y57" s="141">
        <v>20</v>
      </c>
      <c r="Z57" s="141">
        <v>20</v>
      </c>
      <c r="AA57" s="141">
        <v>18</v>
      </c>
      <c r="AB57" s="141">
        <f t="shared" si="5"/>
        <v>58</v>
      </c>
      <c r="AC57" s="141">
        <v>30</v>
      </c>
      <c r="AD57" s="141">
        <v>25</v>
      </c>
      <c r="AE57" s="141">
        <v>25</v>
      </c>
      <c r="AF57" s="141">
        <f t="shared" si="6"/>
        <v>80</v>
      </c>
      <c r="AG57" s="141">
        <v>25</v>
      </c>
      <c r="AH57" s="141">
        <v>20</v>
      </c>
      <c r="AI57" s="141">
        <v>20</v>
      </c>
      <c r="AJ57" s="145">
        <f t="shared" si="7"/>
        <v>65</v>
      </c>
      <c r="AK57" s="140"/>
      <c r="AM57" s="140"/>
      <c r="AN57" s="140"/>
    </row>
    <row r="58" spans="1:40" ht="19.5" customHeight="1">
      <c r="A58" s="143">
        <v>112</v>
      </c>
      <c r="B58" s="144" t="s">
        <v>776</v>
      </c>
      <c r="C58" s="151" t="s">
        <v>777</v>
      </c>
      <c r="D58" s="166">
        <v>495</v>
      </c>
      <c r="E58" s="116" t="s">
        <v>18</v>
      </c>
      <c r="F58" s="144" t="s">
        <v>853</v>
      </c>
      <c r="G58" s="145">
        <v>70</v>
      </c>
      <c r="H58" s="147">
        <v>75</v>
      </c>
      <c r="I58" s="145">
        <v>50</v>
      </c>
      <c r="J58" s="146">
        <v>96</v>
      </c>
      <c r="K58" s="146">
        <v>89</v>
      </c>
      <c r="L58" s="146">
        <v>87</v>
      </c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>
        <f t="shared" si="4"/>
        <v>467</v>
      </c>
      <c r="Y58" s="145">
        <v>21</v>
      </c>
      <c r="Z58" s="145">
        <v>25</v>
      </c>
      <c r="AA58" s="145">
        <v>23</v>
      </c>
      <c r="AB58" s="141">
        <f t="shared" si="5"/>
        <v>69</v>
      </c>
      <c r="AC58" s="145">
        <v>15</v>
      </c>
      <c r="AD58" s="145">
        <v>30</v>
      </c>
      <c r="AE58" s="145">
        <v>30</v>
      </c>
      <c r="AF58" s="141">
        <f t="shared" si="6"/>
        <v>75</v>
      </c>
      <c r="AG58" s="141">
        <v>30</v>
      </c>
      <c r="AH58" s="141">
        <v>25</v>
      </c>
      <c r="AI58" s="141">
        <v>30</v>
      </c>
      <c r="AJ58" s="145">
        <f t="shared" si="7"/>
        <v>85</v>
      </c>
      <c r="AK58" s="140"/>
      <c r="AM58" s="140"/>
      <c r="AN58" s="140"/>
    </row>
    <row r="59" spans="1:40" ht="19.5" customHeight="1">
      <c r="A59" s="143">
        <v>106</v>
      </c>
      <c r="B59" s="144" t="s">
        <v>767</v>
      </c>
      <c r="C59" s="151" t="s">
        <v>768</v>
      </c>
      <c r="D59" s="166">
        <v>487</v>
      </c>
      <c r="E59" s="116" t="s">
        <v>20</v>
      </c>
      <c r="F59" s="144" t="s">
        <v>852</v>
      </c>
      <c r="G59" s="145">
        <v>80</v>
      </c>
      <c r="H59" s="147">
        <v>80</v>
      </c>
      <c r="I59" s="145">
        <v>80</v>
      </c>
      <c r="J59" s="146">
        <v>89</v>
      </c>
      <c r="K59" s="146">
        <v>62</v>
      </c>
      <c r="L59" s="146">
        <v>73</v>
      </c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>
        <f t="shared" si="4"/>
        <v>464</v>
      </c>
      <c r="Y59" s="141">
        <v>20</v>
      </c>
      <c r="Z59" s="141">
        <v>25</v>
      </c>
      <c r="AA59" s="141">
        <v>25</v>
      </c>
      <c r="AB59" s="141">
        <f t="shared" si="5"/>
        <v>70</v>
      </c>
      <c r="AC59" s="141">
        <v>20</v>
      </c>
      <c r="AD59" s="141">
        <v>25</v>
      </c>
      <c r="AE59" s="141">
        <v>30</v>
      </c>
      <c r="AF59" s="141">
        <f t="shared" si="6"/>
        <v>75</v>
      </c>
      <c r="AG59" s="141">
        <v>20</v>
      </c>
      <c r="AH59" s="141">
        <v>20</v>
      </c>
      <c r="AI59" s="141">
        <v>10</v>
      </c>
      <c r="AJ59" s="145">
        <f t="shared" si="7"/>
        <v>50</v>
      </c>
      <c r="AK59" s="140"/>
      <c r="AM59" s="140"/>
      <c r="AN59" s="140"/>
    </row>
    <row r="60" spans="1:40" ht="19.5" customHeight="1">
      <c r="A60" s="143">
        <v>38</v>
      </c>
      <c r="B60" s="144" t="s">
        <v>1275</v>
      </c>
      <c r="C60" s="161" t="s">
        <v>665</v>
      </c>
      <c r="D60" s="166">
        <v>99</v>
      </c>
      <c r="E60" s="116" t="s">
        <v>16</v>
      </c>
      <c r="F60" s="144" t="s">
        <v>856</v>
      </c>
      <c r="G60" s="145">
        <v>75</v>
      </c>
      <c r="H60" s="145">
        <v>97</v>
      </c>
      <c r="I60" s="145">
        <v>79</v>
      </c>
      <c r="J60" s="146">
        <v>44</v>
      </c>
      <c r="K60" s="146">
        <v>71</v>
      </c>
      <c r="L60" s="146">
        <v>92</v>
      </c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>
        <f t="shared" si="4"/>
        <v>458</v>
      </c>
      <c r="Y60" s="141">
        <v>20</v>
      </c>
      <c r="Z60" s="141">
        <v>22</v>
      </c>
      <c r="AA60" s="141">
        <v>28</v>
      </c>
      <c r="AB60" s="141">
        <f t="shared" si="5"/>
        <v>70</v>
      </c>
      <c r="AC60" s="141">
        <v>25</v>
      </c>
      <c r="AD60" s="141">
        <v>18</v>
      </c>
      <c r="AE60" s="141">
        <v>25</v>
      </c>
      <c r="AF60" s="141">
        <f t="shared" si="6"/>
        <v>68</v>
      </c>
      <c r="AG60" s="141">
        <v>28</v>
      </c>
      <c r="AH60" s="141">
        <v>25</v>
      </c>
      <c r="AI60" s="141">
        <v>20</v>
      </c>
      <c r="AJ60" s="145">
        <f t="shared" si="7"/>
        <v>73</v>
      </c>
      <c r="AK60" s="140"/>
      <c r="AM60" s="140"/>
      <c r="AN60" s="140"/>
    </row>
    <row r="61" spans="1:40" ht="19.5" customHeight="1">
      <c r="A61" s="143">
        <v>34</v>
      </c>
      <c r="B61" s="144" t="s">
        <v>659</v>
      </c>
      <c r="C61" s="151" t="s">
        <v>660</v>
      </c>
      <c r="D61" s="166">
        <v>88</v>
      </c>
      <c r="E61" s="116" t="s">
        <v>19</v>
      </c>
      <c r="F61" s="144" t="s">
        <v>856</v>
      </c>
      <c r="G61" s="145">
        <v>89</v>
      </c>
      <c r="H61" s="145">
        <v>96</v>
      </c>
      <c r="I61" s="145">
        <v>85</v>
      </c>
      <c r="J61" s="146">
        <v>79</v>
      </c>
      <c r="K61" s="146">
        <v>40</v>
      </c>
      <c r="L61" s="146">
        <v>67</v>
      </c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>
        <f t="shared" si="4"/>
        <v>456</v>
      </c>
      <c r="Y61" s="141">
        <v>23</v>
      </c>
      <c r="Z61" s="141">
        <v>27</v>
      </c>
      <c r="AA61" s="141">
        <v>25</v>
      </c>
      <c r="AB61" s="141">
        <f t="shared" si="5"/>
        <v>75</v>
      </c>
      <c r="AC61" s="141">
        <v>32</v>
      </c>
      <c r="AD61" s="141">
        <v>33</v>
      </c>
      <c r="AE61" s="141">
        <v>32</v>
      </c>
      <c r="AF61" s="141">
        <f t="shared" si="6"/>
        <v>97</v>
      </c>
      <c r="AG61" s="145">
        <v>30</v>
      </c>
      <c r="AH61" s="145">
        <v>25</v>
      </c>
      <c r="AI61" s="145">
        <v>24</v>
      </c>
      <c r="AJ61" s="145">
        <f t="shared" si="7"/>
        <v>79</v>
      </c>
      <c r="AK61" s="140"/>
      <c r="AM61" s="140"/>
      <c r="AN61" s="140"/>
    </row>
    <row r="62" spans="1:40" ht="19.5" customHeight="1">
      <c r="A62" s="143">
        <v>100</v>
      </c>
      <c r="B62" s="144" t="s">
        <v>1274</v>
      </c>
      <c r="C62" s="161" t="s">
        <v>761</v>
      </c>
      <c r="D62" s="166">
        <v>449</v>
      </c>
      <c r="E62" s="116" t="s">
        <v>16</v>
      </c>
      <c r="F62" s="144" t="s">
        <v>856</v>
      </c>
      <c r="G62" s="145">
        <v>67</v>
      </c>
      <c r="H62" s="145">
        <v>76</v>
      </c>
      <c r="I62" s="145">
        <v>91</v>
      </c>
      <c r="J62" s="146">
        <v>74</v>
      </c>
      <c r="K62" s="146">
        <v>85</v>
      </c>
      <c r="L62" s="146">
        <v>62</v>
      </c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>
        <f t="shared" si="4"/>
        <v>455</v>
      </c>
      <c r="Y62" s="145">
        <v>25</v>
      </c>
      <c r="Z62" s="145">
        <v>26</v>
      </c>
      <c r="AA62" s="145">
        <v>25</v>
      </c>
      <c r="AB62" s="141">
        <f t="shared" si="5"/>
        <v>76</v>
      </c>
      <c r="AC62" s="145">
        <v>30</v>
      </c>
      <c r="AD62" s="145">
        <v>20</v>
      </c>
      <c r="AE62" s="145">
        <v>30</v>
      </c>
      <c r="AF62" s="141">
        <f t="shared" si="6"/>
        <v>80</v>
      </c>
      <c r="AG62" s="141">
        <v>30</v>
      </c>
      <c r="AH62" s="141">
        <v>30</v>
      </c>
      <c r="AI62" s="141">
        <v>30</v>
      </c>
      <c r="AJ62" s="145">
        <f t="shared" si="7"/>
        <v>90</v>
      </c>
      <c r="AK62" s="140"/>
      <c r="AM62" s="140"/>
      <c r="AN62" s="140"/>
    </row>
    <row r="63" spans="1:40">
      <c r="A63" s="143">
        <v>105</v>
      </c>
      <c r="B63" s="144" t="s">
        <v>766</v>
      </c>
      <c r="C63" s="151" t="s">
        <v>702</v>
      </c>
      <c r="D63" s="166">
        <v>486</v>
      </c>
      <c r="E63" s="116" t="s">
        <v>14</v>
      </c>
      <c r="F63" s="144" t="s">
        <v>855</v>
      </c>
      <c r="G63" s="145">
        <v>74</v>
      </c>
      <c r="H63" s="145">
        <v>90</v>
      </c>
      <c r="I63" s="145">
        <v>92</v>
      </c>
      <c r="J63" s="146">
        <v>79</v>
      </c>
      <c r="K63" s="146">
        <v>52</v>
      </c>
      <c r="L63" s="146">
        <v>68</v>
      </c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>
        <f t="shared" si="4"/>
        <v>455</v>
      </c>
      <c r="Y63" s="145">
        <v>26</v>
      </c>
      <c r="Z63" s="145">
        <v>22</v>
      </c>
      <c r="AA63" s="145">
        <v>26</v>
      </c>
      <c r="AB63" s="141">
        <f t="shared" si="5"/>
        <v>74</v>
      </c>
      <c r="AC63" s="145">
        <v>30</v>
      </c>
      <c r="AD63" s="145">
        <v>30</v>
      </c>
      <c r="AE63" s="145">
        <v>30</v>
      </c>
      <c r="AF63" s="141">
        <f t="shared" si="6"/>
        <v>90</v>
      </c>
      <c r="AG63" s="141">
        <v>30</v>
      </c>
      <c r="AH63" s="141">
        <v>30</v>
      </c>
      <c r="AI63" s="141">
        <v>32</v>
      </c>
      <c r="AJ63" s="145">
        <f t="shared" si="7"/>
        <v>92</v>
      </c>
      <c r="AK63" s="140"/>
      <c r="AM63" s="140"/>
      <c r="AN63" s="140"/>
    </row>
    <row r="64" spans="1:40">
      <c r="A64" s="143">
        <v>83</v>
      </c>
      <c r="B64" s="144" t="s">
        <v>739</v>
      </c>
      <c r="C64" s="151" t="s">
        <v>740</v>
      </c>
      <c r="D64" s="166">
        <v>374</v>
      </c>
      <c r="E64" s="116" t="s">
        <v>14</v>
      </c>
      <c r="F64" s="144" t="s">
        <v>855</v>
      </c>
      <c r="G64" s="145">
        <v>76</v>
      </c>
      <c r="H64" s="145">
        <v>80</v>
      </c>
      <c r="I64" s="145">
        <v>90</v>
      </c>
      <c r="J64" s="146">
        <v>86</v>
      </c>
      <c r="K64" s="146">
        <v>84</v>
      </c>
      <c r="L64" s="146">
        <v>36</v>
      </c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>
        <f t="shared" si="4"/>
        <v>452</v>
      </c>
      <c r="Y64" s="141">
        <v>31</v>
      </c>
      <c r="Z64" s="141">
        <v>28</v>
      </c>
      <c r="AA64" s="141">
        <v>30</v>
      </c>
      <c r="AB64" s="141">
        <f t="shared" si="5"/>
        <v>89</v>
      </c>
      <c r="AC64" s="141">
        <v>32</v>
      </c>
      <c r="AD64" s="141">
        <v>33</v>
      </c>
      <c r="AE64" s="141">
        <v>31</v>
      </c>
      <c r="AF64" s="141">
        <f t="shared" si="6"/>
        <v>96</v>
      </c>
      <c r="AG64" s="145">
        <v>25</v>
      </c>
      <c r="AH64" s="145">
        <v>30</v>
      </c>
      <c r="AI64" s="145">
        <v>30</v>
      </c>
      <c r="AJ64" s="145">
        <f t="shared" si="7"/>
        <v>85</v>
      </c>
      <c r="AK64" s="140"/>
      <c r="AM64" s="140"/>
      <c r="AN64" s="140"/>
    </row>
    <row r="65" spans="1:40" ht="19.5" customHeight="1">
      <c r="A65" s="143">
        <v>4</v>
      </c>
      <c r="B65" s="144" t="s">
        <v>616</v>
      </c>
      <c r="C65" s="151" t="s">
        <v>617</v>
      </c>
      <c r="D65" s="166">
        <v>15</v>
      </c>
      <c r="E65" s="116" t="s">
        <v>18</v>
      </c>
      <c r="F65" s="144" t="s">
        <v>853</v>
      </c>
      <c r="G65" s="145">
        <v>60</v>
      </c>
      <c r="H65" s="147">
        <v>60</v>
      </c>
      <c r="I65" s="145">
        <v>68</v>
      </c>
      <c r="J65" s="146">
        <v>73</v>
      </c>
      <c r="K65" s="146">
        <v>97</v>
      </c>
      <c r="L65" s="146">
        <v>93</v>
      </c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>
        <f t="shared" si="4"/>
        <v>451</v>
      </c>
      <c r="Y65" s="141">
        <v>22</v>
      </c>
      <c r="Z65" s="141">
        <v>16</v>
      </c>
      <c r="AA65" s="141">
        <v>14</v>
      </c>
      <c r="AB65" s="141">
        <f t="shared" si="5"/>
        <v>52</v>
      </c>
      <c r="AC65" s="141">
        <v>33</v>
      </c>
      <c r="AD65" s="141">
        <v>28</v>
      </c>
      <c r="AE65" s="141">
        <v>23</v>
      </c>
      <c r="AF65" s="141">
        <f t="shared" si="6"/>
        <v>84</v>
      </c>
      <c r="AG65" s="141">
        <v>30</v>
      </c>
      <c r="AH65" s="141">
        <v>25</v>
      </c>
      <c r="AI65" s="141">
        <v>27</v>
      </c>
      <c r="AJ65" s="145">
        <f t="shared" si="7"/>
        <v>82</v>
      </c>
      <c r="AK65" s="140"/>
      <c r="AM65" s="140"/>
      <c r="AN65" s="140"/>
    </row>
    <row r="66" spans="1:40" ht="19.5" customHeight="1">
      <c r="A66" s="143">
        <v>2</v>
      </c>
      <c r="B66" s="144" t="s">
        <v>612</v>
      </c>
      <c r="C66" s="151" t="s">
        <v>613</v>
      </c>
      <c r="D66" s="166">
        <v>7</v>
      </c>
      <c r="E66" s="116" t="s">
        <v>20</v>
      </c>
      <c r="F66" s="144" t="s">
        <v>852</v>
      </c>
      <c r="G66" s="145">
        <v>70</v>
      </c>
      <c r="H66" s="147">
        <v>68</v>
      </c>
      <c r="I66" s="145">
        <v>73</v>
      </c>
      <c r="J66" s="146">
        <v>83</v>
      </c>
      <c r="K66" s="146">
        <v>93</v>
      </c>
      <c r="L66" s="146">
        <v>63</v>
      </c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>
        <f t="shared" ref="X66:X98" si="8">SUM(G66:L66)</f>
        <v>450</v>
      </c>
      <c r="Y66" s="141">
        <v>24</v>
      </c>
      <c r="Z66" s="141">
        <v>23</v>
      </c>
      <c r="AA66" s="141">
        <v>20</v>
      </c>
      <c r="AB66" s="141">
        <f t="shared" ref="AB66:AB98" si="9">SUM(Y66:AA66)</f>
        <v>67</v>
      </c>
      <c r="AC66" s="141">
        <v>33</v>
      </c>
      <c r="AD66" s="141">
        <v>23</v>
      </c>
      <c r="AE66" s="141">
        <v>20</v>
      </c>
      <c r="AF66" s="141">
        <f t="shared" ref="AF66:AF98" si="10">SUM(AC66:AE66)</f>
        <v>76</v>
      </c>
      <c r="AG66" s="141">
        <v>30</v>
      </c>
      <c r="AH66" s="141">
        <v>30</v>
      </c>
      <c r="AI66" s="141">
        <v>31</v>
      </c>
      <c r="AJ66" s="145">
        <f t="shared" ref="AJ66:AJ98" si="11">SUM(AG66:AI66)</f>
        <v>91</v>
      </c>
      <c r="AK66" s="140"/>
      <c r="AM66" s="140"/>
      <c r="AN66" s="140"/>
    </row>
    <row r="67" spans="1:40" ht="19.5" customHeight="1">
      <c r="A67" s="143">
        <v>10</v>
      </c>
      <c r="B67" s="150" t="s">
        <v>626</v>
      </c>
      <c r="C67" s="151" t="s">
        <v>627</v>
      </c>
      <c r="D67" s="169">
        <v>34</v>
      </c>
      <c r="E67" s="116" t="s">
        <v>16</v>
      </c>
      <c r="F67" s="144" t="s">
        <v>856</v>
      </c>
      <c r="G67" s="145">
        <v>75</v>
      </c>
      <c r="H67" s="145">
        <v>82</v>
      </c>
      <c r="I67" s="145">
        <v>65</v>
      </c>
      <c r="J67" s="146">
        <v>70</v>
      </c>
      <c r="K67" s="146">
        <v>64</v>
      </c>
      <c r="L67" s="146">
        <v>93</v>
      </c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>
        <f t="shared" si="8"/>
        <v>449</v>
      </c>
      <c r="Y67" s="141">
        <v>26</v>
      </c>
      <c r="Z67" s="141">
        <v>20</v>
      </c>
      <c r="AA67" s="141">
        <v>22</v>
      </c>
      <c r="AB67" s="141">
        <f t="shared" si="9"/>
        <v>68</v>
      </c>
      <c r="AC67" s="141">
        <v>32</v>
      </c>
      <c r="AD67" s="141">
        <v>31</v>
      </c>
      <c r="AE67" s="141">
        <v>5</v>
      </c>
      <c r="AF67" s="141">
        <f t="shared" si="10"/>
        <v>68</v>
      </c>
      <c r="AG67" s="141">
        <v>20</v>
      </c>
      <c r="AH67" s="141">
        <v>20</v>
      </c>
      <c r="AI67" s="141">
        <v>23</v>
      </c>
      <c r="AJ67" s="145">
        <f t="shared" si="11"/>
        <v>63</v>
      </c>
      <c r="AK67" s="140"/>
      <c r="AM67" s="140"/>
      <c r="AN67" s="140"/>
    </row>
    <row r="68" spans="1:40" ht="19.5" customHeight="1">
      <c r="A68" s="143">
        <v>17</v>
      </c>
      <c r="B68" s="10" t="s">
        <v>639</v>
      </c>
      <c r="C68" s="151" t="s">
        <v>640</v>
      </c>
      <c r="D68" s="167">
        <v>326</v>
      </c>
      <c r="E68" s="116" t="s">
        <v>16</v>
      </c>
      <c r="F68" s="144" t="s">
        <v>795</v>
      </c>
      <c r="G68" s="145">
        <v>86</v>
      </c>
      <c r="H68" s="145">
        <v>93</v>
      </c>
      <c r="I68" s="145">
        <v>82</v>
      </c>
      <c r="J68" s="146">
        <v>75</v>
      </c>
      <c r="K68" s="146">
        <v>44</v>
      </c>
      <c r="L68" s="146">
        <v>67</v>
      </c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>
        <f t="shared" si="8"/>
        <v>447</v>
      </c>
      <c r="Y68" s="141">
        <v>20</v>
      </c>
      <c r="Z68" s="141">
        <v>20</v>
      </c>
      <c r="AA68" s="141">
        <v>20</v>
      </c>
      <c r="AB68" s="141">
        <f t="shared" si="9"/>
        <v>60</v>
      </c>
      <c r="AC68" s="141">
        <v>20</v>
      </c>
      <c r="AD68" s="141">
        <v>20</v>
      </c>
      <c r="AE68" s="141">
        <v>20</v>
      </c>
      <c r="AF68" s="141">
        <f t="shared" si="10"/>
        <v>60</v>
      </c>
      <c r="AG68" s="141">
        <v>28</v>
      </c>
      <c r="AH68" s="141">
        <v>20</v>
      </c>
      <c r="AI68" s="141">
        <v>20</v>
      </c>
      <c r="AJ68" s="145">
        <f t="shared" si="11"/>
        <v>68</v>
      </c>
      <c r="AK68" s="140"/>
      <c r="AM68" s="140"/>
      <c r="AN68" s="140"/>
    </row>
    <row r="69" spans="1:40" ht="19.5" customHeight="1">
      <c r="A69" s="143">
        <v>59</v>
      </c>
      <c r="B69" s="144" t="s">
        <v>698</v>
      </c>
      <c r="C69" s="151" t="s">
        <v>699</v>
      </c>
      <c r="D69" s="166">
        <v>167</v>
      </c>
      <c r="E69" s="116" t="s">
        <v>19</v>
      </c>
      <c r="F69" s="144" t="s">
        <v>852</v>
      </c>
      <c r="G69" s="145">
        <v>52</v>
      </c>
      <c r="H69" s="145">
        <v>84</v>
      </c>
      <c r="I69" s="145">
        <v>82</v>
      </c>
      <c r="J69" s="146">
        <v>86</v>
      </c>
      <c r="K69" s="146">
        <v>67</v>
      </c>
      <c r="L69" s="146">
        <v>75</v>
      </c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>
        <f t="shared" si="8"/>
        <v>446</v>
      </c>
      <c r="Y69" s="141">
        <v>27</v>
      </c>
      <c r="Z69" s="141">
        <v>23</v>
      </c>
      <c r="AA69" s="141">
        <v>25</v>
      </c>
      <c r="AB69" s="141">
        <f t="shared" si="9"/>
        <v>75</v>
      </c>
      <c r="AC69" s="141">
        <v>32</v>
      </c>
      <c r="AD69" s="141">
        <v>25</v>
      </c>
      <c r="AE69" s="141">
        <v>25</v>
      </c>
      <c r="AF69" s="141">
        <f t="shared" si="10"/>
        <v>82</v>
      </c>
      <c r="AG69" s="141">
        <v>20</v>
      </c>
      <c r="AH69" s="141">
        <v>25</v>
      </c>
      <c r="AI69" s="141">
        <v>20</v>
      </c>
      <c r="AJ69" s="145">
        <f t="shared" si="11"/>
        <v>65</v>
      </c>
      <c r="AK69" s="140"/>
      <c r="AM69" s="140"/>
      <c r="AN69" s="140"/>
    </row>
    <row r="70" spans="1:40" ht="19.5" customHeight="1">
      <c r="A70" s="143">
        <v>18</v>
      </c>
      <c r="B70" s="144" t="s">
        <v>641</v>
      </c>
      <c r="C70" s="151" t="s">
        <v>642</v>
      </c>
      <c r="D70" s="166">
        <v>50</v>
      </c>
      <c r="E70" s="116" t="s">
        <v>19</v>
      </c>
      <c r="F70" s="144" t="s">
        <v>852</v>
      </c>
      <c r="G70" s="145">
        <v>68</v>
      </c>
      <c r="H70" s="145">
        <v>68</v>
      </c>
      <c r="I70" s="145">
        <v>63</v>
      </c>
      <c r="J70" s="146">
        <v>90</v>
      </c>
      <c r="K70" s="146">
        <v>70</v>
      </c>
      <c r="L70" s="146">
        <v>85</v>
      </c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>
        <f t="shared" si="8"/>
        <v>444</v>
      </c>
      <c r="Y70" s="141">
        <v>30</v>
      </c>
      <c r="Z70" s="141">
        <v>28</v>
      </c>
      <c r="AA70" s="141">
        <v>28</v>
      </c>
      <c r="AB70" s="141">
        <f t="shared" si="9"/>
        <v>86</v>
      </c>
      <c r="AC70" s="141">
        <v>33</v>
      </c>
      <c r="AD70" s="141">
        <v>32</v>
      </c>
      <c r="AE70" s="141">
        <v>28</v>
      </c>
      <c r="AF70" s="141">
        <f t="shared" si="10"/>
        <v>93</v>
      </c>
      <c r="AG70" s="141">
        <v>27</v>
      </c>
      <c r="AH70" s="141">
        <v>30</v>
      </c>
      <c r="AI70" s="141">
        <v>25</v>
      </c>
      <c r="AJ70" s="145">
        <f t="shared" si="11"/>
        <v>82</v>
      </c>
      <c r="AK70" s="140"/>
      <c r="AM70" s="140"/>
      <c r="AN70" s="140"/>
    </row>
    <row r="71" spans="1:40" ht="19.5" customHeight="1">
      <c r="A71" s="143">
        <v>60</v>
      </c>
      <c r="B71" s="144" t="s">
        <v>700</v>
      </c>
      <c r="C71" s="151" t="s">
        <v>654</v>
      </c>
      <c r="D71" s="166">
        <v>169</v>
      </c>
      <c r="E71" s="116" t="s">
        <v>14</v>
      </c>
      <c r="F71" s="144" t="s">
        <v>795</v>
      </c>
      <c r="G71" s="145">
        <v>78</v>
      </c>
      <c r="H71" s="145">
        <v>88</v>
      </c>
      <c r="I71" s="145">
        <v>90</v>
      </c>
      <c r="J71" s="146">
        <v>82</v>
      </c>
      <c r="K71" s="146">
        <v>51</v>
      </c>
      <c r="L71" s="146">
        <v>53</v>
      </c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>
        <f t="shared" si="8"/>
        <v>442</v>
      </c>
      <c r="Y71" s="145">
        <v>22</v>
      </c>
      <c r="Z71" s="145">
        <v>16</v>
      </c>
      <c r="AA71" s="145">
        <v>23</v>
      </c>
      <c r="AB71" s="141">
        <f t="shared" si="9"/>
        <v>61</v>
      </c>
      <c r="AC71" s="145">
        <v>30</v>
      </c>
      <c r="AD71" s="145">
        <v>30</v>
      </c>
      <c r="AE71" s="145">
        <v>30</v>
      </c>
      <c r="AF71" s="141">
        <f t="shared" si="10"/>
        <v>90</v>
      </c>
      <c r="AG71" s="145">
        <v>30</v>
      </c>
      <c r="AH71" s="145">
        <v>30</v>
      </c>
      <c r="AI71" s="145">
        <v>30</v>
      </c>
      <c r="AJ71" s="145">
        <f t="shared" si="11"/>
        <v>90</v>
      </c>
      <c r="AK71" s="140"/>
      <c r="AM71" s="140"/>
      <c r="AN71" s="140"/>
    </row>
    <row r="72" spans="1:40">
      <c r="A72" s="143">
        <v>25</v>
      </c>
      <c r="B72" s="144" t="s">
        <v>1273</v>
      </c>
      <c r="C72" s="161" t="s">
        <v>649</v>
      </c>
      <c r="D72" s="166">
        <v>62</v>
      </c>
      <c r="E72" s="116" t="s">
        <v>14</v>
      </c>
      <c r="F72" s="144" t="s">
        <v>795</v>
      </c>
      <c r="G72" s="145">
        <v>61</v>
      </c>
      <c r="H72" s="145">
        <v>90</v>
      </c>
      <c r="I72" s="145">
        <v>90</v>
      </c>
      <c r="J72" s="146">
        <v>83</v>
      </c>
      <c r="K72" s="146">
        <v>46</v>
      </c>
      <c r="L72" s="146">
        <v>69</v>
      </c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>
        <f t="shared" si="8"/>
        <v>439</v>
      </c>
      <c r="Y72" s="141">
        <v>22</v>
      </c>
      <c r="Z72" s="141">
        <v>25</v>
      </c>
      <c r="AA72" s="141">
        <v>24</v>
      </c>
      <c r="AB72" s="141">
        <f t="shared" si="9"/>
        <v>71</v>
      </c>
      <c r="AC72" s="141">
        <v>33</v>
      </c>
      <c r="AD72" s="141">
        <v>33</v>
      </c>
      <c r="AE72" s="141">
        <v>27</v>
      </c>
      <c r="AF72" s="141">
        <f t="shared" si="10"/>
        <v>93</v>
      </c>
      <c r="AG72" s="145">
        <v>25</v>
      </c>
      <c r="AH72" s="145">
        <v>20</v>
      </c>
      <c r="AI72" s="145">
        <v>25</v>
      </c>
      <c r="AJ72" s="145">
        <f t="shared" si="11"/>
        <v>70</v>
      </c>
      <c r="AK72" s="140"/>
      <c r="AM72" s="140"/>
      <c r="AN72" s="140"/>
    </row>
    <row r="73" spans="1:40" ht="19.5" customHeight="1">
      <c r="A73" s="143">
        <v>30</v>
      </c>
      <c r="B73" s="144" t="s">
        <v>479</v>
      </c>
      <c r="C73" s="151" t="s">
        <v>655</v>
      </c>
      <c r="D73" s="166">
        <v>82</v>
      </c>
      <c r="E73" s="116" t="s">
        <v>19</v>
      </c>
      <c r="F73" s="144" t="s">
        <v>795</v>
      </c>
      <c r="G73" s="145">
        <v>71</v>
      </c>
      <c r="H73" s="145">
        <v>93</v>
      </c>
      <c r="I73" s="145">
        <v>70</v>
      </c>
      <c r="J73" s="146">
        <v>87</v>
      </c>
      <c r="K73" s="146">
        <v>56</v>
      </c>
      <c r="L73" s="146">
        <v>62</v>
      </c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>
        <f t="shared" si="8"/>
        <v>439</v>
      </c>
      <c r="Y73" s="141">
        <v>22</v>
      </c>
      <c r="Z73" s="141">
        <v>23</v>
      </c>
      <c r="AA73" s="141">
        <v>20</v>
      </c>
      <c r="AB73" s="141">
        <f t="shared" si="9"/>
        <v>65</v>
      </c>
      <c r="AC73" s="141">
        <v>33</v>
      </c>
      <c r="AD73" s="141">
        <v>32</v>
      </c>
      <c r="AE73" s="141">
        <v>30</v>
      </c>
      <c r="AF73" s="141">
        <f t="shared" si="10"/>
        <v>95</v>
      </c>
      <c r="AG73" s="145">
        <v>30</v>
      </c>
      <c r="AH73" s="145">
        <v>25</v>
      </c>
      <c r="AI73" s="145">
        <v>32</v>
      </c>
      <c r="AJ73" s="145">
        <f t="shared" si="11"/>
        <v>87</v>
      </c>
      <c r="AK73" s="140"/>
      <c r="AM73" s="140"/>
      <c r="AN73" s="140"/>
    </row>
    <row r="74" spans="1:40" ht="19.5" customHeight="1">
      <c r="A74" s="143">
        <v>41</v>
      </c>
      <c r="B74" s="148" t="s">
        <v>669</v>
      </c>
      <c r="C74" s="151" t="s">
        <v>670</v>
      </c>
      <c r="D74" s="166">
        <v>112</v>
      </c>
      <c r="E74" s="116" t="s">
        <v>19</v>
      </c>
      <c r="F74" s="144" t="s">
        <v>856</v>
      </c>
      <c r="G74" s="145">
        <v>65</v>
      </c>
      <c r="H74" s="145">
        <v>95</v>
      </c>
      <c r="I74" s="145">
        <v>87</v>
      </c>
      <c r="J74" s="146">
        <v>60</v>
      </c>
      <c r="K74" s="146">
        <v>55</v>
      </c>
      <c r="L74" s="146">
        <v>72</v>
      </c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>
        <f t="shared" si="8"/>
        <v>434</v>
      </c>
      <c r="Y74" s="141">
        <v>21</v>
      </c>
      <c r="Z74" s="141">
        <v>22</v>
      </c>
      <c r="AA74" s="141">
        <v>25</v>
      </c>
      <c r="AB74" s="141">
        <f t="shared" si="9"/>
        <v>68</v>
      </c>
      <c r="AC74" s="141">
        <v>30</v>
      </c>
      <c r="AD74" s="141">
        <v>25</v>
      </c>
      <c r="AE74" s="141">
        <v>23</v>
      </c>
      <c r="AF74" s="141">
        <f t="shared" si="10"/>
        <v>78</v>
      </c>
      <c r="AG74" s="145">
        <v>20</v>
      </c>
      <c r="AH74" s="145">
        <v>20</v>
      </c>
      <c r="AI74" s="145">
        <v>23</v>
      </c>
      <c r="AJ74" s="145">
        <f t="shared" si="11"/>
        <v>63</v>
      </c>
      <c r="AK74" s="140"/>
      <c r="AM74" s="140"/>
      <c r="AN74" s="140"/>
    </row>
    <row r="75" spans="1:40" ht="19.5" customHeight="1">
      <c r="A75" s="143">
        <v>68</v>
      </c>
      <c r="B75" s="144" t="s">
        <v>714</v>
      </c>
      <c r="C75" s="151" t="s">
        <v>715</v>
      </c>
      <c r="D75" s="166">
        <v>266</v>
      </c>
      <c r="E75" s="116" t="s">
        <v>14</v>
      </c>
      <c r="F75" s="144" t="s">
        <v>795</v>
      </c>
      <c r="G75" s="145">
        <v>74</v>
      </c>
      <c r="H75" s="145">
        <v>90</v>
      </c>
      <c r="I75" s="145">
        <v>85</v>
      </c>
      <c r="J75" s="146">
        <v>82</v>
      </c>
      <c r="K75" s="146">
        <v>49</v>
      </c>
      <c r="L75" s="146">
        <v>50</v>
      </c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>
        <f t="shared" si="8"/>
        <v>430</v>
      </c>
      <c r="Y75" s="141">
        <v>20</v>
      </c>
      <c r="Z75" s="141">
        <v>20</v>
      </c>
      <c r="AA75" s="141">
        <v>27</v>
      </c>
      <c r="AB75" s="141">
        <f t="shared" si="9"/>
        <v>67</v>
      </c>
      <c r="AC75" s="141">
        <v>20</v>
      </c>
      <c r="AD75" s="141">
        <v>25</v>
      </c>
      <c r="AE75" s="141">
        <v>25</v>
      </c>
      <c r="AF75" s="141">
        <f t="shared" si="10"/>
        <v>70</v>
      </c>
      <c r="AG75" s="141">
        <v>20</v>
      </c>
      <c r="AH75" s="141">
        <v>25</v>
      </c>
      <c r="AI75" s="141">
        <v>25</v>
      </c>
      <c r="AJ75" s="145">
        <f t="shared" si="11"/>
        <v>70</v>
      </c>
      <c r="AK75" s="140"/>
      <c r="AM75" s="140"/>
      <c r="AN75" s="140"/>
    </row>
    <row r="76" spans="1:40" ht="19.5" customHeight="1">
      <c r="A76" s="143">
        <v>73</v>
      </c>
      <c r="B76" s="144" t="s">
        <v>1308</v>
      </c>
      <c r="C76" s="151" t="s">
        <v>722</v>
      </c>
      <c r="D76" s="166">
        <v>341</v>
      </c>
      <c r="E76" s="116" t="s">
        <v>18</v>
      </c>
      <c r="F76" s="144" t="s">
        <v>852</v>
      </c>
      <c r="G76" s="145">
        <v>67</v>
      </c>
      <c r="H76" s="147">
        <v>70</v>
      </c>
      <c r="I76" s="145">
        <v>70</v>
      </c>
      <c r="J76" s="146">
        <v>63</v>
      </c>
      <c r="K76" s="146">
        <v>79</v>
      </c>
      <c r="L76" s="146">
        <v>81</v>
      </c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>
        <f t="shared" si="8"/>
        <v>430</v>
      </c>
      <c r="Y76" s="141">
        <v>20</v>
      </c>
      <c r="Z76" s="141">
        <v>25</v>
      </c>
      <c r="AA76" s="141">
        <v>24</v>
      </c>
      <c r="AB76" s="141">
        <f t="shared" si="9"/>
        <v>69</v>
      </c>
      <c r="AC76" s="141">
        <v>32</v>
      </c>
      <c r="AD76" s="141">
        <v>23</v>
      </c>
      <c r="AE76" s="141">
        <v>30</v>
      </c>
      <c r="AF76" s="141">
        <f t="shared" si="10"/>
        <v>85</v>
      </c>
      <c r="AG76" s="141">
        <v>25</v>
      </c>
      <c r="AH76" s="141">
        <v>20</v>
      </c>
      <c r="AI76" s="141">
        <v>23</v>
      </c>
      <c r="AJ76" s="145">
        <f t="shared" si="11"/>
        <v>68</v>
      </c>
      <c r="AK76" s="140"/>
      <c r="AM76" s="140"/>
      <c r="AN76" s="140"/>
    </row>
    <row r="77" spans="1:40" ht="19.5" customHeight="1">
      <c r="A77" s="143">
        <v>93</v>
      </c>
      <c r="B77" s="144" t="s">
        <v>751</v>
      </c>
      <c r="C77" s="151" t="s">
        <v>752</v>
      </c>
      <c r="D77" s="166">
        <v>421</v>
      </c>
      <c r="E77" s="116" t="s">
        <v>19</v>
      </c>
      <c r="F77" s="144" t="s">
        <v>856</v>
      </c>
      <c r="G77" s="145">
        <v>69</v>
      </c>
      <c r="H77" s="145">
        <v>85</v>
      </c>
      <c r="I77" s="145">
        <v>68</v>
      </c>
      <c r="J77" s="146">
        <v>79</v>
      </c>
      <c r="K77" s="146">
        <v>40</v>
      </c>
      <c r="L77" s="146">
        <v>82</v>
      </c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>
        <f t="shared" si="8"/>
        <v>423</v>
      </c>
      <c r="Y77" s="141">
        <v>25</v>
      </c>
      <c r="Z77" s="141">
        <v>25</v>
      </c>
      <c r="AA77" s="141">
        <v>28</v>
      </c>
      <c r="AB77" s="141">
        <f t="shared" si="9"/>
        <v>78</v>
      </c>
      <c r="AC77" s="141">
        <v>25</v>
      </c>
      <c r="AD77" s="141">
        <v>25</v>
      </c>
      <c r="AE77" s="141">
        <v>30</v>
      </c>
      <c r="AF77" s="141">
        <f t="shared" si="10"/>
        <v>80</v>
      </c>
      <c r="AG77" s="141">
        <v>20</v>
      </c>
      <c r="AH77" s="141">
        <v>15</v>
      </c>
      <c r="AI77" s="141">
        <v>15</v>
      </c>
      <c r="AJ77" s="145">
        <f t="shared" si="11"/>
        <v>50</v>
      </c>
      <c r="AK77" s="140"/>
      <c r="AM77" s="140"/>
      <c r="AN77" s="140"/>
    </row>
    <row r="78" spans="1:40" ht="19.5" customHeight="1">
      <c r="A78" s="143">
        <v>51</v>
      </c>
      <c r="B78" s="144" t="s">
        <v>683</v>
      </c>
      <c r="C78" s="151" t="s">
        <v>684</v>
      </c>
      <c r="D78" s="166">
        <v>139</v>
      </c>
      <c r="E78" s="116" t="s">
        <v>19</v>
      </c>
      <c r="F78" s="144" t="s">
        <v>852</v>
      </c>
      <c r="G78" s="145">
        <v>68</v>
      </c>
      <c r="H78" s="145">
        <v>78</v>
      </c>
      <c r="I78" s="145">
        <v>63</v>
      </c>
      <c r="J78" s="146">
        <v>90</v>
      </c>
      <c r="K78" s="146">
        <v>41</v>
      </c>
      <c r="L78" s="146">
        <v>75</v>
      </c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>
        <f t="shared" si="8"/>
        <v>415</v>
      </c>
      <c r="Y78" s="141">
        <v>18</v>
      </c>
      <c r="Z78" s="141">
        <v>26</v>
      </c>
      <c r="AA78" s="141">
        <v>22</v>
      </c>
      <c r="AB78" s="141">
        <f t="shared" si="9"/>
        <v>66</v>
      </c>
      <c r="AC78" s="141">
        <v>25</v>
      </c>
      <c r="AD78" s="141">
        <v>20</v>
      </c>
      <c r="AE78" s="141">
        <v>25</v>
      </c>
      <c r="AF78" s="141">
        <f t="shared" si="10"/>
        <v>70</v>
      </c>
      <c r="AG78" s="145">
        <v>15</v>
      </c>
      <c r="AH78" s="145">
        <v>15</v>
      </c>
      <c r="AI78" s="145">
        <v>25</v>
      </c>
      <c r="AJ78" s="145">
        <f t="shared" si="11"/>
        <v>55</v>
      </c>
      <c r="AK78" s="140"/>
      <c r="AM78" s="140"/>
      <c r="AN78" s="140"/>
    </row>
    <row r="79" spans="1:40" ht="19.5" customHeight="1">
      <c r="A79" s="143">
        <v>84</v>
      </c>
      <c r="B79" s="144" t="s">
        <v>741</v>
      </c>
      <c r="C79" s="151" t="s">
        <v>740</v>
      </c>
      <c r="D79" s="166">
        <v>375</v>
      </c>
      <c r="E79" s="116" t="s">
        <v>19</v>
      </c>
      <c r="F79" s="144" t="s">
        <v>856</v>
      </c>
      <c r="G79" s="145">
        <v>76</v>
      </c>
      <c r="H79" s="145">
        <v>87</v>
      </c>
      <c r="I79" s="145">
        <v>83</v>
      </c>
      <c r="J79" s="146">
        <v>64</v>
      </c>
      <c r="K79" s="146">
        <v>38</v>
      </c>
      <c r="L79" s="146">
        <v>65</v>
      </c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>
        <f t="shared" si="8"/>
        <v>413</v>
      </c>
      <c r="Y79" s="141">
        <v>25</v>
      </c>
      <c r="Z79" s="141">
        <v>23</v>
      </c>
      <c r="AA79" s="141">
        <v>28</v>
      </c>
      <c r="AB79" s="141">
        <f t="shared" si="9"/>
        <v>76</v>
      </c>
      <c r="AC79" s="141">
        <v>32</v>
      </c>
      <c r="AD79" s="141">
        <v>32</v>
      </c>
      <c r="AE79" s="141">
        <v>23</v>
      </c>
      <c r="AF79" s="141">
        <f t="shared" si="10"/>
        <v>87</v>
      </c>
      <c r="AG79" s="141">
        <v>31</v>
      </c>
      <c r="AH79" s="141">
        <v>25</v>
      </c>
      <c r="AI79" s="141">
        <v>27</v>
      </c>
      <c r="AJ79" s="145">
        <f t="shared" si="11"/>
        <v>83</v>
      </c>
      <c r="AK79" s="140"/>
      <c r="AM79" s="140"/>
      <c r="AN79" s="140"/>
    </row>
    <row r="80" spans="1:40">
      <c r="A80" s="143">
        <v>120</v>
      </c>
      <c r="B80" s="11" t="s">
        <v>786</v>
      </c>
      <c r="C80" s="116" t="s">
        <v>1306</v>
      </c>
      <c r="D80" s="166">
        <v>18</v>
      </c>
      <c r="E80" s="116" t="s">
        <v>18</v>
      </c>
      <c r="F80" s="11" t="s">
        <v>857</v>
      </c>
      <c r="G80" s="145">
        <v>78</v>
      </c>
      <c r="H80" s="147">
        <v>80</v>
      </c>
      <c r="I80" s="145">
        <v>50</v>
      </c>
      <c r="J80" s="146">
        <v>66</v>
      </c>
      <c r="K80" s="146">
        <v>63</v>
      </c>
      <c r="L80" s="146">
        <v>73</v>
      </c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>
        <f t="shared" si="8"/>
        <v>410</v>
      </c>
      <c r="Y80" s="145">
        <v>24</v>
      </c>
      <c r="Z80" s="145">
        <v>10</v>
      </c>
      <c r="AA80" s="145">
        <v>23</v>
      </c>
      <c r="AB80" s="141">
        <f t="shared" si="9"/>
        <v>57</v>
      </c>
      <c r="AC80" s="145">
        <v>25</v>
      </c>
      <c r="AD80" s="145">
        <v>30</v>
      </c>
      <c r="AE80" s="145">
        <v>30</v>
      </c>
      <c r="AF80" s="141">
        <f t="shared" si="10"/>
        <v>85</v>
      </c>
      <c r="AG80" s="145">
        <v>20</v>
      </c>
      <c r="AH80" s="145">
        <v>30</v>
      </c>
      <c r="AI80" s="145">
        <v>30</v>
      </c>
      <c r="AJ80" s="145">
        <f t="shared" si="11"/>
        <v>80</v>
      </c>
      <c r="AK80" s="140"/>
      <c r="AM80" s="140"/>
      <c r="AN80" s="140"/>
    </row>
    <row r="81" spans="1:40">
      <c r="A81" s="143">
        <v>32</v>
      </c>
      <c r="B81" s="144" t="s">
        <v>1272</v>
      </c>
      <c r="C81" s="161" t="s">
        <v>656</v>
      </c>
      <c r="D81" s="166">
        <v>84</v>
      </c>
      <c r="E81" s="116" t="s">
        <v>16</v>
      </c>
      <c r="F81" s="144" t="s">
        <v>852</v>
      </c>
      <c r="G81" s="145">
        <v>66</v>
      </c>
      <c r="H81" s="145">
        <v>70</v>
      </c>
      <c r="I81" s="145">
        <v>55</v>
      </c>
      <c r="J81" s="146">
        <v>81</v>
      </c>
      <c r="K81" s="146">
        <v>77</v>
      </c>
      <c r="L81" s="146">
        <v>57</v>
      </c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>
        <f t="shared" si="8"/>
        <v>406</v>
      </c>
      <c r="Y81" s="141">
        <v>28</v>
      </c>
      <c r="Z81" s="141">
        <v>22</v>
      </c>
      <c r="AA81" s="141">
        <v>27</v>
      </c>
      <c r="AB81" s="141">
        <f t="shared" si="9"/>
        <v>77</v>
      </c>
      <c r="AC81" s="141">
        <v>30</v>
      </c>
      <c r="AD81" s="141">
        <v>28</v>
      </c>
      <c r="AE81" s="141">
        <v>30</v>
      </c>
      <c r="AF81" s="141">
        <f t="shared" si="10"/>
        <v>88</v>
      </c>
      <c r="AG81" s="141">
        <v>20</v>
      </c>
      <c r="AH81" s="141">
        <v>25</v>
      </c>
      <c r="AI81" s="141">
        <v>25</v>
      </c>
      <c r="AJ81" s="145">
        <f t="shared" si="11"/>
        <v>70</v>
      </c>
      <c r="AK81" s="140"/>
      <c r="AM81" s="140"/>
      <c r="AN81" s="140"/>
    </row>
    <row r="82" spans="1:40" ht="19.5" customHeight="1">
      <c r="A82" s="143">
        <v>20</v>
      </c>
      <c r="B82" s="144" t="s">
        <v>645</v>
      </c>
      <c r="C82" s="151" t="s">
        <v>644</v>
      </c>
      <c r="D82" s="166">
        <v>54</v>
      </c>
      <c r="E82" s="116" t="s">
        <v>18</v>
      </c>
      <c r="F82" s="144" t="s">
        <v>853</v>
      </c>
      <c r="G82" s="145">
        <v>68</v>
      </c>
      <c r="H82" s="147">
        <v>70</v>
      </c>
      <c r="I82" s="145">
        <v>75</v>
      </c>
      <c r="J82" s="146">
        <v>43</v>
      </c>
      <c r="K82" s="146">
        <v>75</v>
      </c>
      <c r="L82" s="146">
        <v>69</v>
      </c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>
        <f t="shared" si="8"/>
        <v>400</v>
      </c>
      <c r="Y82" s="141">
        <v>27</v>
      </c>
      <c r="Z82" s="141">
        <v>28</v>
      </c>
      <c r="AA82" s="141">
        <v>30</v>
      </c>
      <c r="AB82" s="141">
        <f t="shared" si="9"/>
        <v>85</v>
      </c>
      <c r="AC82" s="141">
        <v>20</v>
      </c>
      <c r="AD82" s="141">
        <v>15</v>
      </c>
      <c r="AE82" s="141">
        <v>17</v>
      </c>
      <c r="AF82" s="141">
        <f t="shared" si="10"/>
        <v>52</v>
      </c>
      <c r="AG82" s="141">
        <v>25</v>
      </c>
      <c r="AH82" s="141">
        <v>15</v>
      </c>
      <c r="AI82" s="141">
        <v>25</v>
      </c>
      <c r="AJ82" s="145">
        <f t="shared" si="11"/>
        <v>65</v>
      </c>
      <c r="AK82" s="140"/>
      <c r="AM82" s="140"/>
      <c r="AN82" s="140"/>
    </row>
    <row r="83" spans="1:40" ht="19.5" customHeight="1">
      <c r="A83" s="143">
        <v>19</v>
      </c>
      <c r="B83" s="144" t="s">
        <v>643</v>
      </c>
      <c r="C83" s="151" t="s">
        <v>644</v>
      </c>
      <c r="D83" s="166">
        <v>53</v>
      </c>
      <c r="E83" s="116" t="s">
        <v>19</v>
      </c>
      <c r="F83" s="144" t="s">
        <v>852</v>
      </c>
      <c r="G83" s="145">
        <v>57</v>
      </c>
      <c r="H83" s="145">
        <v>96</v>
      </c>
      <c r="I83" s="145">
        <v>72</v>
      </c>
      <c r="J83" s="146">
        <v>56</v>
      </c>
      <c r="K83" s="146">
        <v>39</v>
      </c>
      <c r="L83" s="146">
        <v>75</v>
      </c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>
        <f t="shared" si="8"/>
        <v>395</v>
      </c>
      <c r="Y83" s="145">
        <v>23</v>
      </c>
      <c r="Z83" s="145">
        <v>25</v>
      </c>
      <c r="AA83" s="145">
        <v>25</v>
      </c>
      <c r="AB83" s="141">
        <f t="shared" si="9"/>
        <v>73</v>
      </c>
      <c r="AC83" s="145">
        <v>30</v>
      </c>
      <c r="AD83" s="145">
        <v>30</v>
      </c>
      <c r="AE83" s="145">
        <v>30</v>
      </c>
      <c r="AF83" s="141">
        <f t="shared" si="10"/>
        <v>90</v>
      </c>
      <c r="AG83" s="145">
        <v>20</v>
      </c>
      <c r="AH83" s="145">
        <v>15</v>
      </c>
      <c r="AI83" s="145">
        <v>20</v>
      </c>
      <c r="AJ83" s="145">
        <f t="shared" si="11"/>
        <v>55</v>
      </c>
      <c r="AK83" s="140"/>
      <c r="AM83" s="140"/>
      <c r="AN83" s="140"/>
    </row>
    <row r="84" spans="1:40" ht="19.5" customHeight="1">
      <c r="A84" s="143">
        <v>22</v>
      </c>
      <c r="B84" s="144" t="s">
        <v>1271</v>
      </c>
      <c r="C84" s="161" t="s">
        <v>648</v>
      </c>
      <c r="D84" s="166">
        <v>58</v>
      </c>
      <c r="E84" s="116" t="s">
        <v>854</v>
      </c>
      <c r="F84" s="144" t="s">
        <v>856</v>
      </c>
      <c r="G84" s="145">
        <v>57</v>
      </c>
      <c r="H84" s="145">
        <v>85</v>
      </c>
      <c r="I84" s="145">
        <v>80</v>
      </c>
      <c r="J84" s="146">
        <v>64</v>
      </c>
      <c r="K84" s="146">
        <v>40</v>
      </c>
      <c r="L84" s="146">
        <v>69</v>
      </c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>
        <f t="shared" si="8"/>
        <v>395</v>
      </c>
      <c r="Y84" s="141">
        <v>25</v>
      </c>
      <c r="Z84" s="141">
        <v>22</v>
      </c>
      <c r="AA84" s="141">
        <v>27</v>
      </c>
      <c r="AB84" s="141">
        <f t="shared" si="9"/>
        <v>74</v>
      </c>
      <c r="AC84" s="141">
        <v>30</v>
      </c>
      <c r="AD84" s="141">
        <v>20</v>
      </c>
      <c r="AE84" s="141">
        <v>20</v>
      </c>
      <c r="AF84" s="141">
        <f t="shared" si="10"/>
        <v>70</v>
      </c>
      <c r="AG84" s="141">
        <v>20</v>
      </c>
      <c r="AH84" s="141">
        <v>20</v>
      </c>
      <c r="AI84" s="141">
        <v>25</v>
      </c>
      <c r="AJ84" s="145">
        <f t="shared" si="11"/>
        <v>65</v>
      </c>
      <c r="AK84" s="140"/>
      <c r="AM84" s="140"/>
      <c r="AN84" s="140"/>
    </row>
    <row r="85" spans="1:40" ht="19.5" customHeight="1">
      <c r="A85" s="143">
        <v>115</v>
      </c>
      <c r="B85" s="144" t="s">
        <v>597</v>
      </c>
      <c r="C85" s="151" t="s">
        <v>779</v>
      </c>
      <c r="D85" s="166">
        <v>356</v>
      </c>
      <c r="E85" s="116" t="s">
        <v>16</v>
      </c>
      <c r="F85" s="144" t="s">
        <v>795</v>
      </c>
      <c r="G85" s="145">
        <v>77</v>
      </c>
      <c r="H85" s="145">
        <v>88</v>
      </c>
      <c r="I85" s="145">
        <v>70</v>
      </c>
      <c r="J85" s="146">
        <v>36</v>
      </c>
      <c r="K85" s="146">
        <v>44</v>
      </c>
      <c r="L85" s="146">
        <v>78</v>
      </c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>
        <f t="shared" si="8"/>
        <v>393</v>
      </c>
      <c r="Y85" s="145">
        <v>20</v>
      </c>
      <c r="Z85" s="145">
        <v>22</v>
      </c>
      <c r="AA85" s="145">
        <v>22</v>
      </c>
      <c r="AB85" s="141">
        <f t="shared" si="9"/>
        <v>64</v>
      </c>
      <c r="AC85" s="145">
        <v>15</v>
      </c>
      <c r="AD85" s="145">
        <v>15</v>
      </c>
      <c r="AE85" s="145">
        <v>30</v>
      </c>
      <c r="AF85" s="141">
        <f t="shared" si="10"/>
        <v>60</v>
      </c>
      <c r="AG85" s="145">
        <v>30</v>
      </c>
      <c r="AH85" s="145">
        <v>20</v>
      </c>
      <c r="AI85" s="145">
        <v>20</v>
      </c>
      <c r="AJ85" s="145">
        <f t="shared" si="11"/>
        <v>70</v>
      </c>
      <c r="AK85" s="140"/>
      <c r="AM85" s="140"/>
      <c r="AN85" s="140"/>
    </row>
    <row r="86" spans="1:40">
      <c r="A86" s="143">
        <v>54</v>
      </c>
      <c r="B86" s="144" t="s">
        <v>689</v>
      </c>
      <c r="C86" s="151" t="s">
        <v>690</v>
      </c>
      <c r="D86" s="166">
        <v>152</v>
      </c>
      <c r="E86" s="116" t="s">
        <v>16</v>
      </c>
      <c r="F86" s="144" t="s">
        <v>795</v>
      </c>
      <c r="G86" s="145">
        <v>85</v>
      </c>
      <c r="H86" s="145">
        <v>52</v>
      </c>
      <c r="I86" s="145">
        <v>65</v>
      </c>
      <c r="J86" s="146">
        <v>64</v>
      </c>
      <c r="K86" s="146">
        <v>58</v>
      </c>
      <c r="L86" s="146">
        <v>65</v>
      </c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>
        <f t="shared" si="8"/>
        <v>389</v>
      </c>
      <c r="Y86" s="141">
        <v>30</v>
      </c>
      <c r="Z86" s="141">
        <v>25</v>
      </c>
      <c r="AA86" s="141">
        <v>30</v>
      </c>
      <c r="AB86" s="141">
        <f t="shared" si="9"/>
        <v>85</v>
      </c>
      <c r="AC86" s="141">
        <v>25</v>
      </c>
      <c r="AD86" s="141">
        <v>25</v>
      </c>
      <c r="AE86" s="141">
        <v>20</v>
      </c>
      <c r="AF86" s="141">
        <f t="shared" si="10"/>
        <v>70</v>
      </c>
      <c r="AG86" s="145">
        <v>25</v>
      </c>
      <c r="AH86" s="145">
        <v>20</v>
      </c>
      <c r="AI86" s="145">
        <v>20</v>
      </c>
      <c r="AJ86" s="145">
        <f t="shared" si="11"/>
        <v>65</v>
      </c>
      <c r="AK86" s="140"/>
      <c r="AM86" s="140"/>
      <c r="AN86" s="140"/>
    </row>
    <row r="87" spans="1:40" ht="19.5" customHeight="1">
      <c r="A87" s="143">
        <v>46</v>
      </c>
      <c r="B87" s="144" t="s">
        <v>676</v>
      </c>
      <c r="C87" s="151" t="s">
        <v>677</v>
      </c>
      <c r="D87" s="166">
        <v>124</v>
      </c>
      <c r="E87" s="116" t="s">
        <v>854</v>
      </c>
      <c r="F87" s="144" t="s">
        <v>795</v>
      </c>
      <c r="G87" s="145">
        <v>73</v>
      </c>
      <c r="H87" s="145">
        <v>90</v>
      </c>
      <c r="I87" s="145">
        <v>55</v>
      </c>
      <c r="J87" s="146">
        <v>92</v>
      </c>
      <c r="K87" s="146">
        <v>39</v>
      </c>
      <c r="L87" s="146">
        <v>35</v>
      </c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>
        <f t="shared" si="8"/>
        <v>384</v>
      </c>
      <c r="Y87" s="145">
        <v>22</v>
      </c>
      <c r="Z87" s="145">
        <v>25</v>
      </c>
      <c r="AA87" s="145">
        <v>25</v>
      </c>
      <c r="AB87" s="141">
        <f t="shared" si="9"/>
        <v>72</v>
      </c>
      <c r="AC87" s="145">
        <v>30</v>
      </c>
      <c r="AD87" s="145">
        <v>30</v>
      </c>
      <c r="AE87" s="145">
        <v>30</v>
      </c>
      <c r="AF87" s="141">
        <f t="shared" si="10"/>
        <v>90</v>
      </c>
      <c r="AG87" s="141">
        <v>30</v>
      </c>
      <c r="AH87" s="141">
        <v>25</v>
      </c>
      <c r="AI87" s="141">
        <v>25</v>
      </c>
      <c r="AJ87" s="145">
        <f t="shared" si="11"/>
        <v>80</v>
      </c>
      <c r="AK87" s="140"/>
      <c r="AM87" s="140"/>
      <c r="AN87" s="140"/>
    </row>
    <row r="88" spans="1:40" ht="19.5" customHeight="1">
      <c r="A88" s="143">
        <v>11</v>
      </c>
      <c r="B88" s="144" t="s">
        <v>628</v>
      </c>
      <c r="C88" s="151" t="s">
        <v>629</v>
      </c>
      <c r="D88" s="166">
        <v>36</v>
      </c>
      <c r="E88" s="116" t="s">
        <v>20</v>
      </c>
      <c r="F88" s="144" t="s">
        <v>852</v>
      </c>
      <c r="G88" s="145">
        <v>80</v>
      </c>
      <c r="H88" s="147">
        <v>75</v>
      </c>
      <c r="I88" s="145">
        <v>80</v>
      </c>
      <c r="J88" s="146">
        <v>41</v>
      </c>
      <c r="K88" s="146">
        <v>60</v>
      </c>
      <c r="L88" s="146">
        <v>43</v>
      </c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>
        <f t="shared" si="8"/>
        <v>379</v>
      </c>
      <c r="Y88" s="141">
        <v>16</v>
      </c>
      <c r="Z88" s="141">
        <v>21</v>
      </c>
      <c r="AA88" s="141">
        <v>20</v>
      </c>
      <c r="AB88" s="141">
        <f t="shared" si="9"/>
        <v>57</v>
      </c>
      <c r="AC88" s="141">
        <v>32</v>
      </c>
      <c r="AD88" s="141">
        <v>32</v>
      </c>
      <c r="AE88" s="141">
        <v>32</v>
      </c>
      <c r="AF88" s="141">
        <f t="shared" si="10"/>
        <v>96</v>
      </c>
      <c r="AG88" s="141">
        <v>25</v>
      </c>
      <c r="AH88" s="141">
        <v>25</v>
      </c>
      <c r="AI88" s="141">
        <v>22</v>
      </c>
      <c r="AJ88" s="145">
        <f t="shared" si="11"/>
        <v>72</v>
      </c>
      <c r="AK88" s="140"/>
      <c r="AM88" s="140"/>
      <c r="AN88" s="140"/>
    </row>
    <row r="89" spans="1:40">
      <c r="A89" s="143">
        <v>108</v>
      </c>
      <c r="B89" s="144" t="s">
        <v>771</v>
      </c>
      <c r="C89" s="151" t="s">
        <v>412</v>
      </c>
      <c r="D89" s="166">
        <v>491</v>
      </c>
      <c r="E89" s="116" t="s">
        <v>19</v>
      </c>
      <c r="F89" s="144" t="s">
        <v>795</v>
      </c>
      <c r="G89" s="145">
        <v>74</v>
      </c>
      <c r="H89" s="145">
        <v>70</v>
      </c>
      <c r="I89" s="145">
        <v>65</v>
      </c>
      <c r="J89" s="146">
        <v>83</v>
      </c>
      <c r="K89" s="146">
        <v>36</v>
      </c>
      <c r="L89" s="146">
        <v>51</v>
      </c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>
        <f t="shared" si="8"/>
        <v>379</v>
      </c>
      <c r="Y89" s="145">
        <v>23</v>
      </c>
      <c r="Z89" s="145">
        <v>24</v>
      </c>
      <c r="AA89" s="145">
        <v>23</v>
      </c>
      <c r="AB89" s="141">
        <f t="shared" si="9"/>
        <v>70</v>
      </c>
      <c r="AC89" s="145">
        <v>30</v>
      </c>
      <c r="AD89" s="145">
        <v>30</v>
      </c>
      <c r="AE89" s="145">
        <v>28</v>
      </c>
      <c r="AF89" s="141">
        <f t="shared" si="10"/>
        <v>88</v>
      </c>
      <c r="AG89" s="141">
        <v>30</v>
      </c>
      <c r="AH89" s="141">
        <v>25</v>
      </c>
      <c r="AI89" s="141">
        <v>25</v>
      </c>
      <c r="AJ89" s="145">
        <f t="shared" si="11"/>
        <v>80</v>
      </c>
      <c r="AK89" s="140"/>
      <c r="AM89" s="140"/>
      <c r="AN89" s="140"/>
    </row>
    <row r="90" spans="1:40" ht="19.5" customHeight="1">
      <c r="A90" s="143">
        <v>29</v>
      </c>
      <c r="B90" s="144" t="s">
        <v>653</v>
      </c>
      <c r="C90" s="151" t="s">
        <v>654</v>
      </c>
      <c r="D90" s="166">
        <v>79</v>
      </c>
      <c r="E90" s="116" t="s">
        <v>854</v>
      </c>
      <c r="F90" s="144" t="s">
        <v>856</v>
      </c>
      <c r="G90" s="145">
        <v>64</v>
      </c>
      <c r="H90" s="145">
        <v>60</v>
      </c>
      <c r="I90" s="145">
        <v>70</v>
      </c>
      <c r="J90" s="146">
        <v>52</v>
      </c>
      <c r="K90" s="146">
        <v>77</v>
      </c>
      <c r="L90" s="146">
        <v>51</v>
      </c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>
        <f t="shared" si="8"/>
        <v>374</v>
      </c>
      <c r="Y90" s="141">
        <v>25</v>
      </c>
      <c r="Z90" s="141">
        <v>24</v>
      </c>
      <c r="AA90" s="141">
        <v>24</v>
      </c>
      <c r="AB90" s="141">
        <f t="shared" si="9"/>
        <v>73</v>
      </c>
      <c r="AC90" s="141">
        <v>33</v>
      </c>
      <c r="AD90" s="141">
        <v>28</v>
      </c>
      <c r="AE90" s="141">
        <v>30</v>
      </c>
      <c r="AF90" s="141">
        <f t="shared" si="10"/>
        <v>91</v>
      </c>
      <c r="AG90" s="141">
        <v>25</v>
      </c>
      <c r="AH90" s="141">
        <v>25</v>
      </c>
      <c r="AI90" s="141">
        <v>25</v>
      </c>
      <c r="AJ90" s="145">
        <f t="shared" si="11"/>
        <v>75</v>
      </c>
      <c r="AK90" s="140"/>
      <c r="AM90" s="140"/>
      <c r="AN90" s="140"/>
    </row>
    <row r="91" spans="1:40">
      <c r="A91" s="143">
        <v>50</v>
      </c>
      <c r="B91" s="144" t="s">
        <v>1312</v>
      </c>
      <c r="C91" s="161" t="s">
        <v>682</v>
      </c>
      <c r="D91" s="166">
        <v>136</v>
      </c>
      <c r="E91" s="116" t="s">
        <v>18</v>
      </c>
      <c r="F91" s="144" t="s">
        <v>853</v>
      </c>
      <c r="G91" s="145">
        <v>85</v>
      </c>
      <c r="H91" s="147">
        <v>70</v>
      </c>
      <c r="I91" s="145">
        <v>65</v>
      </c>
      <c r="J91" s="146">
        <v>56</v>
      </c>
      <c r="K91" s="146">
        <v>36</v>
      </c>
      <c r="L91" s="146">
        <v>44</v>
      </c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>
        <f t="shared" ref="X91:X96" si="12">SUM(G91:L91)</f>
        <v>356</v>
      </c>
      <c r="Y91" s="141">
        <v>20</v>
      </c>
      <c r="Z91" s="141">
        <v>20</v>
      </c>
      <c r="AA91" s="141">
        <v>20</v>
      </c>
      <c r="AB91" s="141">
        <f t="shared" ref="AB91:AB96" si="13">SUM(Y91:AA91)</f>
        <v>60</v>
      </c>
      <c r="AC91" s="141">
        <v>20</v>
      </c>
      <c r="AD91" s="141">
        <v>15</v>
      </c>
      <c r="AE91" s="141">
        <v>15</v>
      </c>
      <c r="AF91" s="141">
        <f t="shared" ref="AF91:AF96" si="14">SUM(AC91:AE91)</f>
        <v>50</v>
      </c>
      <c r="AG91" s="145">
        <v>20</v>
      </c>
      <c r="AH91" s="145">
        <v>20</v>
      </c>
      <c r="AI91" s="145">
        <v>20</v>
      </c>
      <c r="AJ91" s="145">
        <f t="shared" ref="AJ91:AJ96" si="15">SUM(AG91:AI91)</f>
        <v>60</v>
      </c>
      <c r="AK91" s="140"/>
      <c r="AM91" s="140"/>
      <c r="AN91" s="140"/>
    </row>
    <row r="92" spans="1:40" ht="19.5" customHeight="1">
      <c r="A92" s="143">
        <v>23</v>
      </c>
      <c r="B92" s="144" t="s">
        <v>1269</v>
      </c>
      <c r="C92" s="161" t="s">
        <v>648</v>
      </c>
      <c r="D92" s="166">
        <v>59</v>
      </c>
      <c r="E92" s="116" t="s">
        <v>18</v>
      </c>
      <c r="F92" s="144" t="s">
        <v>853</v>
      </c>
      <c r="G92" s="145">
        <v>60</v>
      </c>
      <c r="H92" s="147">
        <v>45</v>
      </c>
      <c r="I92" s="145">
        <v>60</v>
      </c>
      <c r="J92" s="146">
        <v>57</v>
      </c>
      <c r="K92" s="146">
        <v>70</v>
      </c>
      <c r="L92" s="146">
        <v>54</v>
      </c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>
        <f t="shared" si="12"/>
        <v>346</v>
      </c>
      <c r="Y92" s="145">
        <v>19</v>
      </c>
      <c r="Z92" s="145">
        <v>20</v>
      </c>
      <c r="AA92" s="145">
        <v>17</v>
      </c>
      <c r="AB92" s="141">
        <f t="shared" si="13"/>
        <v>56</v>
      </c>
      <c r="AC92" s="145">
        <v>30</v>
      </c>
      <c r="AD92" s="145">
        <v>10</v>
      </c>
      <c r="AE92" s="145">
        <v>20</v>
      </c>
      <c r="AF92" s="141">
        <f t="shared" si="14"/>
        <v>60</v>
      </c>
      <c r="AG92" s="145">
        <v>25</v>
      </c>
      <c r="AH92" s="145">
        <v>25</v>
      </c>
      <c r="AI92" s="145">
        <v>30</v>
      </c>
      <c r="AJ92" s="145">
        <f t="shared" si="15"/>
        <v>80</v>
      </c>
      <c r="AK92" s="140"/>
      <c r="AM92" s="140"/>
      <c r="AN92" s="140"/>
    </row>
    <row r="93" spans="1:40">
      <c r="A93" s="143">
        <v>90</v>
      </c>
      <c r="B93" s="144" t="s">
        <v>702</v>
      </c>
      <c r="C93" s="151" t="s">
        <v>746</v>
      </c>
      <c r="D93" s="166">
        <v>403</v>
      </c>
      <c r="E93" s="116" t="s">
        <v>854</v>
      </c>
      <c r="F93" s="144" t="s">
        <v>795</v>
      </c>
      <c r="G93" s="145">
        <v>72</v>
      </c>
      <c r="H93" s="145">
        <v>90</v>
      </c>
      <c r="I93" s="145">
        <v>80</v>
      </c>
      <c r="J93" s="146">
        <v>91</v>
      </c>
      <c r="K93" s="146">
        <v>26</v>
      </c>
      <c r="L93" s="146">
        <v>85</v>
      </c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>
        <f t="shared" si="12"/>
        <v>444</v>
      </c>
      <c r="Y93" s="145">
        <v>27</v>
      </c>
      <c r="Z93" s="145">
        <v>28</v>
      </c>
      <c r="AA93" s="145">
        <v>23</v>
      </c>
      <c r="AB93" s="141">
        <f t="shared" si="13"/>
        <v>78</v>
      </c>
      <c r="AC93" s="145">
        <v>30</v>
      </c>
      <c r="AD93" s="145">
        <v>30</v>
      </c>
      <c r="AE93" s="145">
        <v>28</v>
      </c>
      <c r="AF93" s="141">
        <f t="shared" si="14"/>
        <v>88</v>
      </c>
      <c r="AG93" s="145">
        <v>30</v>
      </c>
      <c r="AH93" s="145">
        <v>30</v>
      </c>
      <c r="AI93" s="145">
        <v>30</v>
      </c>
      <c r="AJ93" s="145">
        <f t="shared" si="15"/>
        <v>90</v>
      </c>
      <c r="AK93" s="140"/>
      <c r="AM93" s="140"/>
      <c r="AN93" s="140"/>
    </row>
    <row r="94" spans="1:40">
      <c r="A94" s="143">
        <v>75</v>
      </c>
      <c r="B94" s="144" t="s">
        <v>724</v>
      </c>
      <c r="C94" s="151" t="s">
        <v>725</v>
      </c>
      <c r="D94" s="166">
        <v>345</v>
      </c>
      <c r="E94" s="116" t="s">
        <v>14</v>
      </c>
      <c r="F94" s="144" t="s">
        <v>795</v>
      </c>
      <c r="G94" s="145">
        <v>78</v>
      </c>
      <c r="H94" s="145">
        <v>89</v>
      </c>
      <c r="I94" s="145">
        <v>90</v>
      </c>
      <c r="J94" s="146">
        <v>92</v>
      </c>
      <c r="K94" s="146">
        <v>30</v>
      </c>
      <c r="L94" s="146">
        <v>57</v>
      </c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>
        <f t="shared" si="12"/>
        <v>436</v>
      </c>
      <c r="Y94" s="145">
        <v>26</v>
      </c>
      <c r="Z94" s="145">
        <v>23</v>
      </c>
      <c r="AA94" s="145">
        <v>25</v>
      </c>
      <c r="AB94" s="141">
        <f t="shared" si="13"/>
        <v>74</v>
      </c>
      <c r="AC94" s="145">
        <v>30</v>
      </c>
      <c r="AD94" s="145">
        <v>30</v>
      </c>
      <c r="AE94" s="145">
        <v>30</v>
      </c>
      <c r="AF94" s="141">
        <f t="shared" si="14"/>
        <v>90</v>
      </c>
      <c r="AG94" s="141">
        <v>30</v>
      </c>
      <c r="AH94" s="141">
        <v>25</v>
      </c>
      <c r="AI94" s="141">
        <v>30</v>
      </c>
      <c r="AJ94" s="145">
        <f t="shared" si="15"/>
        <v>85</v>
      </c>
      <c r="AK94" s="140"/>
      <c r="AM94" s="140"/>
      <c r="AN94" s="140"/>
    </row>
    <row r="95" spans="1:40">
      <c r="A95" s="143">
        <v>113</v>
      </c>
      <c r="B95" s="144" t="s">
        <v>1270</v>
      </c>
      <c r="C95" s="161" t="s">
        <v>656</v>
      </c>
      <c r="D95" s="166">
        <v>497</v>
      </c>
      <c r="E95" s="116" t="s">
        <v>854</v>
      </c>
      <c r="F95" s="144" t="s">
        <v>856</v>
      </c>
      <c r="G95" s="145">
        <v>70</v>
      </c>
      <c r="H95" s="145">
        <v>88</v>
      </c>
      <c r="I95" s="145">
        <v>80</v>
      </c>
      <c r="J95" s="146">
        <v>64</v>
      </c>
      <c r="K95" s="146">
        <v>19</v>
      </c>
      <c r="L95" s="146">
        <v>83</v>
      </c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>
        <f t="shared" si="12"/>
        <v>404</v>
      </c>
      <c r="Y95" s="141">
        <v>25</v>
      </c>
      <c r="Z95" s="141">
        <v>25</v>
      </c>
      <c r="AA95" s="141">
        <v>30</v>
      </c>
      <c r="AB95" s="149">
        <f t="shared" si="13"/>
        <v>80</v>
      </c>
      <c r="AC95" s="141">
        <v>25</v>
      </c>
      <c r="AD95" s="141">
        <v>25</v>
      </c>
      <c r="AE95" s="141">
        <v>25</v>
      </c>
      <c r="AF95" s="141">
        <f t="shared" si="14"/>
        <v>75</v>
      </c>
      <c r="AG95" s="141">
        <v>30</v>
      </c>
      <c r="AH95" s="141">
        <v>30</v>
      </c>
      <c r="AI95" s="141">
        <v>20</v>
      </c>
      <c r="AJ95" s="145">
        <f t="shared" si="15"/>
        <v>80</v>
      </c>
      <c r="AK95" s="140"/>
      <c r="AM95" s="140"/>
      <c r="AN95" s="140"/>
    </row>
    <row r="96" spans="1:40">
      <c r="A96" s="143">
        <v>61</v>
      </c>
      <c r="B96" s="144" t="s">
        <v>701</v>
      </c>
      <c r="C96" s="151" t="s">
        <v>596</v>
      </c>
      <c r="D96" s="166">
        <v>171</v>
      </c>
      <c r="E96" s="116" t="s">
        <v>19</v>
      </c>
      <c r="F96" s="144" t="s">
        <v>795</v>
      </c>
      <c r="G96" s="145">
        <v>73</v>
      </c>
      <c r="H96" s="145">
        <v>91</v>
      </c>
      <c r="I96" s="145">
        <v>75</v>
      </c>
      <c r="J96" s="146">
        <v>84</v>
      </c>
      <c r="K96" s="146">
        <v>44</v>
      </c>
      <c r="L96" s="146">
        <v>16</v>
      </c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>
        <f t="shared" si="12"/>
        <v>383</v>
      </c>
      <c r="Y96" s="145">
        <v>28</v>
      </c>
      <c r="Z96" s="145">
        <v>26</v>
      </c>
      <c r="AA96" s="145">
        <v>24</v>
      </c>
      <c r="AB96" s="141">
        <f t="shared" si="13"/>
        <v>78</v>
      </c>
      <c r="AC96" s="145">
        <v>29</v>
      </c>
      <c r="AD96" s="145">
        <v>30</v>
      </c>
      <c r="AE96" s="145">
        <v>30</v>
      </c>
      <c r="AF96" s="141">
        <f t="shared" si="14"/>
        <v>89</v>
      </c>
      <c r="AG96" s="141">
        <v>30</v>
      </c>
      <c r="AH96" s="141">
        <v>30</v>
      </c>
      <c r="AI96" s="141">
        <v>30</v>
      </c>
      <c r="AJ96" s="145">
        <f t="shared" si="15"/>
        <v>90</v>
      </c>
      <c r="AK96" s="140"/>
      <c r="AM96" s="140"/>
      <c r="AN96" s="140"/>
    </row>
    <row r="97" spans="1:40">
      <c r="A97" s="143">
        <v>36</v>
      </c>
      <c r="B97" s="144" t="s">
        <v>1309</v>
      </c>
      <c r="C97" s="161" t="s">
        <v>662</v>
      </c>
      <c r="D97" s="166">
        <v>90</v>
      </c>
      <c r="E97" s="116" t="s">
        <v>19</v>
      </c>
      <c r="F97" s="144" t="s">
        <v>795</v>
      </c>
      <c r="G97" s="145">
        <v>87</v>
      </c>
      <c r="H97" s="145">
        <v>88</v>
      </c>
      <c r="I97" s="145">
        <v>75</v>
      </c>
      <c r="J97" s="146">
        <v>47</v>
      </c>
      <c r="K97" s="146">
        <v>12</v>
      </c>
      <c r="L97" s="146">
        <v>51</v>
      </c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>
        <f t="shared" si="8"/>
        <v>360</v>
      </c>
      <c r="Y97" s="141">
        <v>28</v>
      </c>
      <c r="Z97" s="141">
        <v>30</v>
      </c>
      <c r="AA97" s="141">
        <v>29</v>
      </c>
      <c r="AB97" s="141">
        <f t="shared" si="9"/>
        <v>87</v>
      </c>
      <c r="AC97" s="141">
        <v>30</v>
      </c>
      <c r="AD97" s="141">
        <v>30</v>
      </c>
      <c r="AE97" s="141">
        <v>28</v>
      </c>
      <c r="AF97" s="141">
        <f t="shared" si="10"/>
        <v>88</v>
      </c>
      <c r="AG97" s="145">
        <v>25</v>
      </c>
      <c r="AH97" s="145">
        <v>25</v>
      </c>
      <c r="AI97" s="145">
        <v>25</v>
      </c>
      <c r="AJ97" s="145">
        <f t="shared" si="11"/>
        <v>75</v>
      </c>
      <c r="AK97" s="140"/>
      <c r="AM97" s="140"/>
      <c r="AN97" s="140"/>
    </row>
    <row r="98" spans="1:40" ht="19.5" customHeight="1">
      <c r="A98" s="143">
        <v>102</v>
      </c>
      <c r="B98" s="10" t="s">
        <v>762</v>
      </c>
      <c r="C98" s="151" t="s">
        <v>763</v>
      </c>
      <c r="D98" s="168">
        <v>457</v>
      </c>
      <c r="E98" s="151" t="s">
        <v>20</v>
      </c>
      <c r="F98" s="144" t="s">
        <v>856</v>
      </c>
      <c r="G98" s="145">
        <v>80</v>
      </c>
      <c r="H98" s="147">
        <v>80</v>
      </c>
      <c r="I98" s="145">
        <v>70</v>
      </c>
      <c r="J98" s="146">
        <v>32</v>
      </c>
      <c r="K98" s="146">
        <v>54</v>
      </c>
      <c r="L98" s="146">
        <v>44</v>
      </c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>
        <f t="shared" si="8"/>
        <v>360</v>
      </c>
      <c r="Y98" s="141">
        <v>30</v>
      </c>
      <c r="Z98" s="141">
        <v>25</v>
      </c>
      <c r="AA98" s="141">
        <v>25</v>
      </c>
      <c r="AB98" s="141">
        <f t="shared" si="9"/>
        <v>80</v>
      </c>
      <c r="AC98" s="141">
        <v>25</v>
      </c>
      <c r="AD98" s="141">
        <v>25</v>
      </c>
      <c r="AE98" s="141">
        <v>30</v>
      </c>
      <c r="AF98" s="141">
        <f t="shared" si="10"/>
        <v>80</v>
      </c>
      <c r="AG98" s="141">
        <v>20</v>
      </c>
      <c r="AH98" s="141">
        <v>25</v>
      </c>
      <c r="AI98" s="141">
        <v>25</v>
      </c>
      <c r="AJ98" s="145">
        <f t="shared" si="11"/>
        <v>70</v>
      </c>
      <c r="AK98" s="140"/>
      <c r="AM98" s="140"/>
      <c r="AN98" s="140"/>
    </row>
    <row r="99" spans="1:40" ht="19.5" customHeight="1">
      <c r="A99" s="143">
        <v>53</v>
      </c>
      <c r="B99" s="144" t="s">
        <v>687</v>
      </c>
      <c r="C99" s="151" t="s">
        <v>688</v>
      </c>
      <c r="D99" s="166">
        <v>148</v>
      </c>
      <c r="E99" s="116" t="s">
        <v>18</v>
      </c>
      <c r="F99" s="144" t="s">
        <v>853</v>
      </c>
      <c r="G99" s="145">
        <v>60</v>
      </c>
      <c r="H99" s="147">
        <v>50</v>
      </c>
      <c r="I99" s="145">
        <v>60</v>
      </c>
      <c r="J99" s="146">
        <v>73</v>
      </c>
      <c r="K99" s="146">
        <v>33</v>
      </c>
      <c r="L99" s="146">
        <v>71</v>
      </c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>
        <f t="shared" ref="X99:X124" si="16">SUM(G99:L99)</f>
        <v>347</v>
      </c>
      <c r="Y99" s="141">
        <v>20</v>
      </c>
      <c r="Z99" s="141">
        <v>20</v>
      </c>
      <c r="AA99" s="141">
        <v>20</v>
      </c>
      <c r="AB99" s="149">
        <f t="shared" ref="AB99:AB125" si="17">SUM(Y99:AA99)</f>
        <v>60</v>
      </c>
      <c r="AC99" s="141">
        <v>10</v>
      </c>
      <c r="AD99" s="141">
        <v>15</v>
      </c>
      <c r="AE99" s="141">
        <v>20</v>
      </c>
      <c r="AF99" s="141">
        <f t="shared" ref="AF99:AF125" si="18">SUM(AC99:AE99)</f>
        <v>45</v>
      </c>
      <c r="AG99" s="141">
        <v>20</v>
      </c>
      <c r="AH99" s="141">
        <v>20</v>
      </c>
      <c r="AI99" s="141">
        <v>20</v>
      </c>
      <c r="AJ99" s="145">
        <f t="shared" ref="AJ99:AJ126" si="19">SUM(AG99:AI99)</f>
        <v>60</v>
      </c>
      <c r="AK99" s="140"/>
      <c r="AM99" s="140"/>
      <c r="AN99" s="140"/>
    </row>
    <row r="100" spans="1:40">
      <c r="A100" s="143">
        <v>31</v>
      </c>
      <c r="B100" s="144" t="s">
        <v>1268</v>
      </c>
      <c r="C100" s="161" t="s">
        <v>656</v>
      </c>
      <c r="D100" s="166">
        <v>83</v>
      </c>
      <c r="E100" s="116" t="s">
        <v>14</v>
      </c>
      <c r="F100" s="144" t="s">
        <v>795</v>
      </c>
      <c r="G100" s="145">
        <v>56</v>
      </c>
      <c r="H100" s="145">
        <v>60</v>
      </c>
      <c r="I100" s="145">
        <v>80</v>
      </c>
      <c r="J100" s="146">
        <v>61</v>
      </c>
      <c r="K100" s="146">
        <v>14</v>
      </c>
      <c r="L100" s="146">
        <v>63</v>
      </c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>
        <f t="shared" si="16"/>
        <v>334</v>
      </c>
      <c r="Y100" s="141">
        <v>25</v>
      </c>
      <c r="Z100" s="141">
        <v>25</v>
      </c>
      <c r="AA100" s="141">
        <v>30</v>
      </c>
      <c r="AB100" s="141">
        <f t="shared" si="17"/>
        <v>80</v>
      </c>
      <c r="AC100" s="141">
        <v>20</v>
      </c>
      <c r="AD100" s="141">
        <v>20</v>
      </c>
      <c r="AE100" s="141">
        <v>20</v>
      </c>
      <c r="AF100" s="141">
        <f t="shared" si="18"/>
        <v>60</v>
      </c>
      <c r="AG100" s="145">
        <v>30</v>
      </c>
      <c r="AH100" s="145">
        <v>30</v>
      </c>
      <c r="AI100" s="145">
        <v>30</v>
      </c>
      <c r="AJ100" s="145">
        <f t="shared" si="19"/>
        <v>90</v>
      </c>
      <c r="AK100" s="140"/>
      <c r="AM100" s="140"/>
      <c r="AN100" s="140"/>
    </row>
    <row r="101" spans="1:40" ht="19.5" customHeight="1">
      <c r="A101" s="143">
        <v>40</v>
      </c>
      <c r="B101" s="144" t="s">
        <v>667</v>
      </c>
      <c r="C101" s="151" t="s">
        <v>668</v>
      </c>
      <c r="D101" s="166">
        <v>104</v>
      </c>
      <c r="E101" s="116" t="s">
        <v>20</v>
      </c>
      <c r="F101" s="144" t="s">
        <v>852</v>
      </c>
      <c r="G101" s="145">
        <v>80</v>
      </c>
      <c r="H101" s="147">
        <v>60</v>
      </c>
      <c r="I101" s="145">
        <v>90</v>
      </c>
      <c r="J101" s="146">
        <v>3</v>
      </c>
      <c r="K101" s="146">
        <v>39</v>
      </c>
      <c r="L101" s="146">
        <v>54</v>
      </c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>
        <f t="shared" si="16"/>
        <v>326</v>
      </c>
      <c r="Y101" s="145">
        <v>20</v>
      </c>
      <c r="Z101" s="141">
        <v>20</v>
      </c>
      <c r="AA101" s="141">
        <v>21</v>
      </c>
      <c r="AB101" s="141">
        <f t="shared" si="17"/>
        <v>61</v>
      </c>
      <c r="AC101" s="141">
        <v>15</v>
      </c>
      <c r="AD101" s="141">
        <v>15</v>
      </c>
      <c r="AE101" s="141">
        <v>20</v>
      </c>
      <c r="AF101" s="141">
        <f t="shared" si="18"/>
        <v>50</v>
      </c>
      <c r="AG101" s="145">
        <v>30</v>
      </c>
      <c r="AH101" s="145">
        <v>20</v>
      </c>
      <c r="AI101" s="145">
        <v>25</v>
      </c>
      <c r="AJ101" s="145">
        <f t="shared" si="19"/>
        <v>75</v>
      </c>
      <c r="AK101" s="140"/>
      <c r="AM101" s="140"/>
      <c r="AN101" s="140"/>
    </row>
    <row r="102" spans="1:40" ht="19.5" customHeight="1">
      <c r="A102" s="143">
        <v>8</v>
      </c>
      <c r="B102" s="144" t="s">
        <v>623</v>
      </c>
      <c r="C102" s="151" t="s">
        <v>624</v>
      </c>
      <c r="D102" s="166">
        <v>32</v>
      </c>
      <c r="E102" s="116" t="s">
        <v>854</v>
      </c>
      <c r="F102" s="144" t="s">
        <v>855</v>
      </c>
      <c r="G102" s="145">
        <v>53</v>
      </c>
      <c r="H102" s="145">
        <v>55</v>
      </c>
      <c r="I102" s="145">
        <v>65</v>
      </c>
      <c r="J102" s="146">
        <v>50</v>
      </c>
      <c r="K102" s="146">
        <v>56</v>
      </c>
      <c r="L102" s="146">
        <v>17</v>
      </c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>
        <f t="shared" si="16"/>
        <v>296</v>
      </c>
      <c r="Y102" s="141">
        <v>20</v>
      </c>
      <c r="Z102" s="141">
        <v>16</v>
      </c>
      <c r="AA102" s="141">
        <v>14</v>
      </c>
      <c r="AB102" s="141">
        <f t="shared" si="17"/>
        <v>50</v>
      </c>
      <c r="AC102" s="141">
        <v>22</v>
      </c>
      <c r="AD102" s="141">
        <v>28</v>
      </c>
      <c r="AE102" s="141">
        <v>0</v>
      </c>
      <c r="AF102" s="141">
        <f t="shared" si="18"/>
        <v>50</v>
      </c>
      <c r="AG102" s="141">
        <v>21</v>
      </c>
      <c r="AH102" s="141">
        <v>20</v>
      </c>
      <c r="AI102" s="141">
        <v>15</v>
      </c>
      <c r="AJ102" s="145">
        <f t="shared" si="19"/>
        <v>56</v>
      </c>
      <c r="AK102" s="140"/>
      <c r="AM102" s="140"/>
      <c r="AN102" s="140"/>
    </row>
    <row r="103" spans="1:40" ht="19.5" customHeight="1">
      <c r="A103" s="143">
        <v>37</v>
      </c>
      <c r="B103" s="10" t="s">
        <v>663</v>
      </c>
      <c r="C103" s="151" t="s">
        <v>664</v>
      </c>
      <c r="D103" s="166">
        <v>92</v>
      </c>
      <c r="E103" s="116" t="s">
        <v>18</v>
      </c>
      <c r="F103" s="144" t="s">
        <v>852</v>
      </c>
      <c r="G103" s="145">
        <v>61</v>
      </c>
      <c r="H103" s="147">
        <v>50</v>
      </c>
      <c r="I103" s="145">
        <v>75</v>
      </c>
      <c r="J103" s="146">
        <v>14</v>
      </c>
      <c r="K103" s="146">
        <v>38</v>
      </c>
      <c r="L103" s="146">
        <v>44</v>
      </c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>
        <f>SUM(G103:L103)</f>
        <v>282</v>
      </c>
      <c r="Y103" s="141">
        <v>20</v>
      </c>
      <c r="Z103" s="141">
        <v>20</v>
      </c>
      <c r="AA103" s="141">
        <v>21</v>
      </c>
      <c r="AB103" s="141">
        <f>SUM(Y103:AA103)</f>
        <v>61</v>
      </c>
      <c r="AC103" s="141">
        <v>30</v>
      </c>
      <c r="AD103" s="141">
        <v>30</v>
      </c>
      <c r="AE103" s="141">
        <v>30</v>
      </c>
      <c r="AF103" s="141">
        <f>SUM(AC103:AE103)</f>
        <v>90</v>
      </c>
      <c r="AG103" s="141">
        <v>30</v>
      </c>
      <c r="AH103" s="141">
        <v>28</v>
      </c>
      <c r="AI103" s="141">
        <v>20</v>
      </c>
      <c r="AJ103" s="145">
        <f>SUM(AG103:AI103)</f>
        <v>78</v>
      </c>
      <c r="AK103" s="140"/>
      <c r="AM103" s="140"/>
      <c r="AN103" s="140"/>
    </row>
    <row r="104" spans="1:40">
      <c r="A104" s="143">
        <v>49</v>
      </c>
      <c r="B104" s="144" t="s">
        <v>616</v>
      </c>
      <c r="C104" s="151" t="s">
        <v>681</v>
      </c>
      <c r="D104" s="166">
        <v>135</v>
      </c>
      <c r="E104" s="116" t="s">
        <v>20</v>
      </c>
      <c r="F104" s="144" t="s">
        <v>852</v>
      </c>
      <c r="G104" s="145">
        <v>65</v>
      </c>
      <c r="H104" s="147">
        <v>40</v>
      </c>
      <c r="I104" s="145">
        <v>70</v>
      </c>
      <c r="J104" s="146">
        <v>49</v>
      </c>
      <c r="K104" s="146">
        <v>12</v>
      </c>
      <c r="L104" s="146">
        <v>45</v>
      </c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>
        <f>SUM(G104:L104)</f>
        <v>281</v>
      </c>
      <c r="Y104" s="141">
        <v>20</v>
      </c>
      <c r="Z104" s="141">
        <v>25</v>
      </c>
      <c r="AA104" s="141">
        <v>20</v>
      </c>
      <c r="AB104" s="141">
        <f>SUM(Y104:AA104)</f>
        <v>65</v>
      </c>
      <c r="AC104" s="141">
        <v>20</v>
      </c>
      <c r="AD104" s="141">
        <v>20</v>
      </c>
      <c r="AE104" s="141">
        <v>20</v>
      </c>
      <c r="AF104" s="141">
        <f>SUM(AC104:AE104)</f>
        <v>60</v>
      </c>
      <c r="AG104" s="141">
        <v>20</v>
      </c>
      <c r="AH104" s="141">
        <v>15</v>
      </c>
      <c r="AI104" s="141">
        <v>15</v>
      </c>
      <c r="AJ104" s="145">
        <f>SUM(AG104:AI104)</f>
        <v>50</v>
      </c>
      <c r="AK104" s="140"/>
      <c r="AM104" s="140"/>
      <c r="AN104" s="140"/>
    </row>
    <row r="105" spans="1:40">
      <c r="A105" s="143">
        <v>119</v>
      </c>
      <c r="B105" s="11" t="s">
        <v>1266</v>
      </c>
      <c r="C105" s="162" t="s">
        <v>650</v>
      </c>
      <c r="D105" s="167">
        <v>256</v>
      </c>
      <c r="E105" s="116" t="s">
        <v>18</v>
      </c>
      <c r="F105" s="11" t="s">
        <v>853</v>
      </c>
      <c r="G105" s="145">
        <v>45</v>
      </c>
      <c r="H105" s="147">
        <v>70</v>
      </c>
      <c r="I105" s="145">
        <v>40</v>
      </c>
      <c r="J105" s="146">
        <v>43</v>
      </c>
      <c r="K105" s="146">
        <v>10</v>
      </c>
      <c r="L105" s="146">
        <v>20</v>
      </c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6">
        <f>SUM(G105:L105)</f>
        <v>228</v>
      </c>
      <c r="Y105" s="141">
        <v>20</v>
      </c>
      <c r="Z105" s="141">
        <v>20</v>
      </c>
      <c r="AA105" s="141">
        <v>24</v>
      </c>
      <c r="AB105" s="141">
        <f>SUM(Y105:AA105)</f>
        <v>64</v>
      </c>
      <c r="AC105" s="141">
        <v>20</v>
      </c>
      <c r="AD105" s="141">
        <v>20</v>
      </c>
      <c r="AE105" s="141">
        <v>20</v>
      </c>
      <c r="AF105" s="141">
        <f>SUM(AC105:AE105)</f>
        <v>60</v>
      </c>
      <c r="AG105" s="145">
        <v>25</v>
      </c>
      <c r="AH105" s="145">
        <v>25</v>
      </c>
      <c r="AI105" s="145">
        <v>20</v>
      </c>
      <c r="AJ105" s="145">
        <f>SUM(AG105:AI105)</f>
        <v>70</v>
      </c>
      <c r="AK105" s="140"/>
      <c r="AM105" s="140"/>
      <c r="AN105" s="140"/>
    </row>
    <row r="106" spans="1:40">
      <c r="A106" s="143">
        <v>24</v>
      </c>
      <c r="B106" s="10" t="s">
        <v>1313</v>
      </c>
      <c r="C106" s="161" t="s">
        <v>596</v>
      </c>
      <c r="D106" s="166">
        <v>61</v>
      </c>
      <c r="E106" s="116" t="s">
        <v>20</v>
      </c>
      <c r="F106" s="144" t="s">
        <v>852</v>
      </c>
      <c r="G106" s="145">
        <v>63</v>
      </c>
      <c r="H106" s="147">
        <v>60</v>
      </c>
      <c r="I106" s="145">
        <v>70</v>
      </c>
      <c r="J106" s="146">
        <v>33</v>
      </c>
      <c r="K106" s="146">
        <v>40</v>
      </c>
      <c r="L106" s="146">
        <v>22</v>
      </c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>
        <f t="shared" si="16"/>
        <v>288</v>
      </c>
      <c r="Y106" s="141">
        <v>30</v>
      </c>
      <c r="Z106" s="141">
        <v>30</v>
      </c>
      <c r="AA106" s="141">
        <v>25</v>
      </c>
      <c r="AB106" s="141">
        <f t="shared" si="17"/>
        <v>85</v>
      </c>
      <c r="AC106" s="141">
        <v>30</v>
      </c>
      <c r="AD106" s="141">
        <v>20</v>
      </c>
      <c r="AE106" s="141">
        <v>20</v>
      </c>
      <c r="AF106" s="141">
        <f t="shared" si="18"/>
        <v>70</v>
      </c>
      <c r="AG106" s="141">
        <v>28</v>
      </c>
      <c r="AH106" s="141">
        <v>25</v>
      </c>
      <c r="AI106" s="141">
        <v>25</v>
      </c>
      <c r="AJ106" s="145">
        <f t="shared" si="19"/>
        <v>78</v>
      </c>
      <c r="AK106" s="140"/>
      <c r="AM106" s="140"/>
      <c r="AN106" s="140"/>
    </row>
    <row r="107" spans="1:40">
      <c r="A107" s="143">
        <v>110</v>
      </c>
      <c r="B107" s="144" t="s">
        <v>597</v>
      </c>
      <c r="C107" s="151" t="s">
        <v>774</v>
      </c>
      <c r="D107" s="166">
        <v>493</v>
      </c>
      <c r="E107" s="116" t="s">
        <v>20</v>
      </c>
      <c r="F107" s="144" t="s">
        <v>795</v>
      </c>
      <c r="G107" s="145">
        <v>61</v>
      </c>
      <c r="H107" s="147">
        <v>90</v>
      </c>
      <c r="I107" s="145">
        <v>78</v>
      </c>
      <c r="J107" s="146">
        <v>35</v>
      </c>
      <c r="K107" s="146">
        <v>16</v>
      </c>
      <c r="L107" s="146">
        <v>3</v>
      </c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>
        <f t="shared" si="16"/>
        <v>283</v>
      </c>
      <c r="Y107" s="141">
        <v>20</v>
      </c>
      <c r="Z107" s="141">
        <v>20</v>
      </c>
      <c r="AA107" s="141">
        <v>23</v>
      </c>
      <c r="AB107" s="141">
        <f t="shared" si="17"/>
        <v>63</v>
      </c>
      <c r="AC107" s="141">
        <v>20</v>
      </c>
      <c r="AD107" s="141">
        <v>20</v>
      </c>
      <c r="AE107" s="141">
        <v>20</v>
      </c>
      <c r="AF107" s="141">
        <f t="shared" si="18"/>
        <v>60</v>
      </c>
      <c r="AG107" s="141">
        <v>20</v>
      </c>
      <c r="AH107" s="141">
        <v>25</v>
      </c>
      <c r="AI107" s="141">
        <v>25</v>
      </c>
      <c r="AJ107" s="145">
        <f t="shared" si="19"/>
        <v>70</v>
      </c>
      <c r="AK107" s="140"/>
      <c r="AM107" s="140"/>
      <c r="AN107" s="140"/>
    </row>
    <row r="108" spans="1:40">
      <c r="A108" s="143">
        <v>109</v>
      </c>
      <c r="B108" s="144" t="s">
        <v>772</v>
      </c>
      <c r="C108" s="151" t="s">
        <v>773</v>
      </c>
      <c r="D108" s="166">
        <v>492</v>
      </c>
      <c r="E108" s="116" t="s">
        <v>19</v>
      </c>
      <c r="F108" s="144" t="s">
        <v>795</v>
      </c>
      <c r="G108" s="145">
        <v>50</v>
      </c>
      <c r="H108" s="145">
        <v>50</v>
      </c>
      <c r="I108" s="145">
        <v>56</v>
      </c>
      <c r="J108" s="146">
        <v>48</v>
      </c>
      <c r="K108" s="146">
        <v>22</v>
      </c>
      <c r="L108" s="146">
        <v>28</v>
      </c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>
        <f t="shared" si="16"/>
        <v>254</v>
      </c>
      <c r="Y108" s="141">
        <v>15</v>
      </c>
      <c r="Z108" s="141">
        <v>15</v>
      </c>
      <c r="AA108" s="141">
        <v>22</v>
      </c>
      <c r="AB108" s="141">
        <f t="shared" si="17"/>
        <v>52</v>
      </c>
      <c r="AC108" s="141">
        <v>15</v>
      </c>
      <c r="AD108" s="141">
        <v>20</v>
      </c>
      <c r="AE108" s="141">
        <v>20</v>
      </c>
      <c r="AF108" s="141">
        <f t="shared" si="18"/>
        <v>55</v>
      </c>
      <c r="AG108" s="141">
        <v>15</v>
      </c>
      <c r="AH108" s="141">
        <v>15</v>
      </c>
      <c r="AI108" s="141">
        <v>15</v>
      </c>
      <c r="AJ108" s="145">
        <f t="shared" si="19"/>
        <v>45</v>
      </c>
      <c r="AK108" s="140"/>
      <c r="AM108" s="140"/>
      <c r="AN108" s="140"/>
    </row>
    <row r="109" spans="1:40" ht="19.5" customHeight="1">
      <c r="A109" s="143">
        <v>103</v>
      </c>
      <c r="B109" s="144" t="s">
        <v>1265</v>
      </c>
      <c r="C109" s="161" t="s">
        <v>764</v>
      </c>
      <c r="D109" s="166">
        <v>460</v>
      </c>
      <c r="E109" s="116" t="s">
        <v>18</v>
      </c>
      <c r="F109" s="144" t="s">
        <v>852</v>
      </c>
      <c r="G109" s="145">
        <v>65</v>
      </c>
      <c r="H109" s="147">
        <v>60</v>
      </c>
      <c r="I109" s="145">
        <v>50</v>
      </c>
      <c r="J109" s="146">
        <v>14</v>
      </c>
      <c r="K109" s="146">
        <v>15</v>
      </c>
      <c r="L109" s="146">
        <v>52</v>
      </c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6">
        <f t="shared" si="16"/>
        <v>256</v>
      </c>
      <c r="Y109" s="141">
        <v>25</v>
      </c>
      <c r="Z109" s="141">
        <v>27</v>
      </c>
      <c r="AA109" s="141">
        <v>30</v>
      </c>
      <c r="AB109" s="141">
        <f t="shared" si="17"/>
        <v>82</v>
      </c>
      <c r="AC109" s="141">
        <v>25</v>
      </c>
      <c r="AD109" s="141">
        <v>25</v>
      </c>
      <c r="AE109" s="141">
        <v>30</v>
      </c>
      <c r="AF109" s="141">
        <f t="shared" si="18"/>
        <v>80</v>
      </c>
      <c r="AG109" s="141">
        <v>30</v>
      </c>
      <c r="AH109" s="141">
        <v>30</v>
      </c>
      <c r="AI109" s="141">
        <v>25</v>
      </c>
      <c r="AJ109" s="145">
        <f t="shared" si="19"/>
        <v>85</v>
      </c>
      <c r="AK109" s="140"/>
      <c r="AM109" s="140"/>
      <c r="AN109" s="140"/>
    </row>
    <row r="110" spans="1:40">
      <c r="A110" s="143">
        <v>9</v>
      </c>
      <c r="B110" s="10" t="s">
        <v>1314</v>
      </c>
      <c r="C110" s="161" t="s">
        <v>625</v>
      </c>
      <c r="D110" s="166">
        <v>33</v>
      </c>
      <c r="E110" s="116" t="s">
        <v>20</v>
      </c>
      <c r="F110" s="144" t="s">
        <v>852</v>
      </c>
      <c r="G110" s="145">
        <v>65</v>
      </c>
      <c r="H110" s="147">
        <v>60</v>
      </c>
      <c r="I110" s="145">
        <v>70</v>
      </c>
      <c r="J110" s="146">
        <v>17</v>
      </c>
      <c r="K110" s="146">
        <v>2</v>
      </c>
      <c r="L110" s="146">
        <v>36</v>
      </c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>
        <f t="shared" si="16"/>
        <v>250</v>
      </c>
      <c r="Y110" s="141">
        <v>20</v>
      </c>
      <c r="Z110" s="141">
        <v>20</v>
      </c>
      <c r="AA110" s="141">
        <v>18</v>
      </c>
      <c r="AB110" s="141">
        <f t="shared" si="17"/>
        <v>58</v>
      </c>
      <c r="AC110" s="141">
        <v>20</v>
      </c>
      <c r="AD110" s="141">
        <v>20</v>
      </c>
      <c r="AE110" s="141">
        <v>20</v>
      </c>
      <c r="AF110" s="141">
        <f t="shared" si="18"/>
        <v>60</v>
      </c>
      <c r="AG110" s="141">
        <v>20</v>
      </c>
      <c r="AH110" s="141">
        <v>15</v>
      </c>
      <c r="AI110" s="141">
        <v>15</v>
      </c>
      <c r="AJ110" s="145">
        <f t="shared" si="19"/>
        <v>50</v>
      </c>
      <c r="AK110" s="140"/>
      <c r="AM110" s="140"/>
      <c r="AN110" s="140"/>
    </row>
    <row r="111" spans="1:40">
      <c r="A111" s="143">
        <v>62</v>
      </c>
      <c r="B111" s="144" t="s">
        <v>702</v>
      </c>
      <c r="C111" s="151" t="s">
        <v>703</v>
      </c>
      <c r="D111" s="166">
        <v>177</v>
      </c>
      <c r="E111" s="116" t="s">
        <v>18</v>
      </c>
      <c r="F111" s="144" t="s">
        <v>853</v>
      </c>
      <c r="G111" s="145">
        <v>85</v>
      </c>
      <c r="H111" s="147">
        <v>70</v>
      </c>
      <c r="I111" s="145">
        <v>78</v>
      </c>
      <c r="J111" s="146">
        <v>31</v>
      </c>
      <c r="K111" s="146">
        <v>28</v>
      </c>
      <c r="L111" s="146">
        <v>18</v>
      </c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>
        <f>SUM(G111:L111)</f>
        <v>310</v>
      </c>
      <c r="Y111" s="141">
        <v>20</v>
      </c>
      <c r="Z111" s="141">
        <v>20</v>
      </c>
      <c r="AA111" s="141">
        <v>25</v>
      </c>
      <c r="AB111" s="141">
        <f>SUM(Y111:AA111)</f>
        <v>65</v>
      </c>
      <c r="AC111" s="141">
        <v>15</v>
      </c>
      <c r="AD111" s="141">
        <v>15</v>
      </c>
      <c r="AE111" s="141">
        <v>10</v>
      </c>
      <c r="AF111" s="141">
        <f>SUM(AC111:AE111)</f>
        <v>40</v>
      </c>
      <c r="AG111" s="145">
        <v>25</v>
      </c>
      <c r="AH111" s="145">
        <v>20</v>
      </c>
      <c r="AI111" s="145">
        <v>25</v>
      </c>
      <c r="AJ111" s="145">
        <f>SUM(AG111:AI111)</f>
        <v>70</v>
      </c>
      <c r="AK111" s="140"/>
      <c r="AM111" s="140"/>
      <c r="AN111" s="140"/>
    </row>
    <row r="112" spans="1:40" ht="19.5" customHeight="1">
      <c r="A112" s="143">
        <v>85</v>
      </c>
      <c r="B112" s="144" t="s">
        <v>742</v>
      </c>
      <c r="C112" s="151" t="s">
        <v>494</v>
      </c>
      <c r="D112" s="166">
        <v>384</v>
      </c>
      <c r="E112" s="116" t="s">
        <v>20</v>
      </c>
      <c r="F112" s="144" t="s">
        <v>852</v>
      </c>
      <c r="G112" s="145">
        <v>75</v>
      </c>
      <c r="H112" s="147">
        <v>82</v>
      </c>
      <c r="I112" s="145">
        <v>55</v>
      </c>
      <c r="J112" s="146">
        <v>3</v>
      </c>
      <c r="K112" s="146">
        <v>2</v>
      </c>
      <c r="L112" s="146">
        <v>28</v>
      </c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6">
        <f t="shared" si="16"/>
        <v>245</v>
      </c>
      <c r="Y112" s="141">
        <v>27</v>
      </c>
      <c r="Z112" s="141">
        <v>23</v>
      </c>
      <c r="AA112" s="141">
        <v>25</v>
      </c>
      <c r="AB112" s="141">
        <f t="shared" si="17"/>
        <v>75</v>
      </c>
      <c r="AC112" s="141">
        <v>31</v>
      </c>
      <c r="AD112" s="141">
        <v>24</v>
      </c>
      <c r="AE112" s="141">
        <v>20</v>
      </c>
      <c r="AF112" s="141">
        <f t="shared" si="18"/>
        <v>75</v>
      </c>
      <c r="AG112" s="141">
        <v>20</v>
      </c>
      <c r="AH112" s="141">
        <v>20</v>
      </c>
      <c r="AI112" s="141">
        <v>23</v>
      </c>
      <c r="AJ112" s="145">
        <f t="shared" si="19"/>
        <v>63</v>
      </c>
      <c r="AK112" s="140"/>
      <c r="AM112" s="140"/>
      <c r="AN112" s="140"/>
    </row>
    <row r="113" spans="1:52" ht="19.5" customHeight="1">
      <c r="A113" s="143">
        <v>89</v>
      </c>
      <c r="B113" s="144" t="s">
        <v>747</v>
      </c>
      <c r="C113" s="151" t="s">
        <v>746</v>
      </c>
      <c r="D113" s="166">
        <v>402</v>
      </c>
      <c r="E113" s="116" t="s">
        <v>18</v>
      </c>
      <c r="F113" s="144" t="s">
        <v>853</v>
      </c>
      <c r="G113" s="145">
        <v>52</v>
      </c>
      <c r="H113" s="147">
        <v>55</v>
      </c>
      <c r="I113" s="145">
        <v>45</v>
      </c>
      <c r="J113" s="146">
        <v>14</v>
      </c>
      <c r="K113" s="146">
        <v>26</v>
      </c>
      <c r="L113" s="146">
        <v>1</v>
      </c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>
        <f t="shared" si="16"/>
        <v>193</v>
      </c>
      <c r="Y113" s="141"/>
      <c r="Z113" s="141"/>
      <c r="AA113" s="141"/>
      <c r="AB113" s="141">
        <f t="shared" si="17"/>
        <v>0</v>
      </c>
      <c r="AC113" s="141">
        <v>18</v>
      </c>
      <c r="AD113" s="141">
        <v>20</v>
      </c>
      <c r="AE113" s="141">
        <v>18</v>
      </c>
      <c r="AF113" s="141">
        <f t="shared" si="18"/>
        <v>56</v>
      </c>
      <c r="AG113" s="140"/>
      <c r="AH113" s="140"/>
      <c r="AI113" s="140"/>
      <c r="AJ113" s="145">
        <f t="shared" si="19"/>
        <v>0</v>
      </c>
      <c r="AK113" s="140"/>
      <c r="AM113" s="140"/>
      <c r="AN113" s="140"/>
    </row>
    <row r="114" spans="1:52">
      <c r="A114" s="143">
        <v>88</v>
      </c>
      <c r="B114" s="144" t="s">
        <v>1264</v>
      </c>
      <c r="C114" s="161" t="s">
        <v>746</v>
      </c>
      <c r="D114" s="166">
        <v>400</v>
      </c>
      <c r="E114" s="116" t="s">
        <v>18</v>
      </c>
      <c r="F114" s="144" t="s">
        <v>853</v>
      </c>
      <c r="G114" s="145">
        <v>50</v>
      </c>
      <c r="H114" s="147">
        <v>50</v>
      </c>
      <c r="I114" s="145">
        <v>45</v>
      </c>
      <c r="J114" s="146">
        <v>14</v>
      </c>
      <c r="K114" s="146">
        <v>11</v>
      </c>
      <c r="L114" s="146">
        <v>3</v>
      </c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6">
        <f t="shared" si="16"/>
        <v>173</v>
      </c>
      <c r="Y114" s="145">
        <v>28</v>
      </c>
      <c r="Z114" s="145">
        <v>27</v>
      </c>
      <c r="AA114" s="145">
        <v>28</v>
      </c>
      <c r="AB114" s="141">
        <f t="shared" si="17"/>
        <v>83</v>
      </c>
      <c r="AC114" s="145">
        <v>29</v>
      </c>
      <c r="AD114" s="145">
        <v>30</v>
      </c>
      <c r="AE114" s="145">
        <v>30</v>
      </c>
      <c r="AF114" s="141">
        <f t="shared" si="18"/>
        <v>89</v>
      </c>
      <c r="AG114" s="141">
        <v>30</v>
      </c>
      <c r="AH114" s="141">
        <v>32</v>
      </c>
      <c r="AI114" s="141">
        <v>30</v>
      </c>
      <c r="AJ114" s="145">
        <f t="shared" si="19"/>
        <v>92</v>
      </c>
      <c r="AK114" s="140"/>
      <c r="AM114" s="140"/>
      <c r="AN114" s="140"/>
    </row>
    <row r="115" spans="1:52" ht="19.5" customHeight="1">
      <c r="A115" s="143">
        <v>87</v>
      </c>
      <c r="B115" s="144" t="s">
        <v>1263</v>
      </c>
      <c r="C115" s="161" t="s">
        <v>745</v>
      </c>
      <c r="D115" s="166">
        <v>399</v>
      </c>
      <c r="E115" s="116" t="s">
        <v>18</v>
      </c>
      <c r="F115" s="144" t="s">
        <v>853</v>
      </c>
      <c r="G115" s="145">
        <v>82</v>
      </c>
      <c r="H115" s="147">
        <v>80</v>
      </c>
      <c r="I115" s="145">
        <v>85</v>
      </c>
      <c r="J115" s="146">
        <v>75</v>
      </c>
      <c r="K115" s="146">
        <v>89</v>
      </c>
      <c r="L115" s="140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>
        <f t="shared" ref="X115:X121" si="20">SUM(G115:L115)</f>
        <v>411</v>
      </c>
      <c r="Y115" s="141">
        <v>20</v>
      </c>
      <c r="Z115" s="141">
        <v>23</v>
      </c>
      <c r="AA115" s="141">
        <v>25</v>
      </c>
      <c r="AB115" s="149">
        <f t="shared" ref="AB115:AB122" si="21">SUM(Y115:AA115)</f>
        <v>68</v>
      </c>
      <c r="AC115" s="141">
        <v>20</v>
      </c>
      <c r="AD115" s="141">
        <v>25</v>
      </c>
      <c r="AE115" s="141">
        <v>25</v>
      </c>
      <c r="AF115" s="141">
        <f t="shared" ref="AF115:AF122" si="22">SUM(AC115:AE115)</f>
        <v>70</v>
      </c>
      <c r="AG115" s="141">
        <v>25</v>
      </c>
      <c r="AH115" s="141">
        <v>25</v>
      </c>
      <c r="AI115" s="141">
        <v>25</v>
      </c>
      <c r="AJ115" s="145">
        <f t="shared" ref="AJ115:AJ122" si="23">SUM(AG115:AI115)</f>
        <v>75</v>
      </c>
      <c r="AK115" s="140"/>
      <c r="AM115" s="140"/>
      <c r="AN115" s="140"/>
    </row>
    <row r="116" spans="1:52" ht="19.5" customHeight="1">
      <c r="A116" s="143">
        <v>67</v>
      </c>
      <c r="B116" s="144" t="s">
        <v>712</v>
      </c>
      <c r="C116" s="151" t="s">
        <v>713</v>
      </c>
      <c r="D116" s="166">
        <v>258</v>
      </c>
      <c r="E116" s="116" t="s">
        <v>16</v>
      </c>
      <c r="F116" s="144" t="s">
        <v>795</v>
      </c>
      <c r="G116" s="145">
        <v>72</v>
      </c>
      <c r="H116" s="145">
        <v>87</v>
      </c>
      <c r="I116" s="145">
        <v>70</v>
      </c>
      <c r="J116" s="146">
        <v>53</v>
      </c>
      <c r="K116" s="176">
        <v>53</v>
      </c>
      <c r="L116" s="146">
        <v>48</v>
      </c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>
        <f t="shared" si="20"/>
        <v>383</v>
      </c>
      <c r="Y116" s="145">
        <v>20</v>
      </c>
      <c r="Z116" s="145">
        <v>15</v>
      </c>
      <c r="AA116" s="145">
        <v>18</v>
      </c>
      <c r="AB116" s="141">
        <f t="shared" si="21"/>
        <v>53</v>
      </c>
      <c r="AC116" s="145">
        <v>30</v>
      </c>
      <c r="AD116" s="145">
        <v>10</v>
      </c>
      <c r="AE116" s="145">
        <v>15</v>
      </c>
      <c r="AF116" s="141">
        <f t="shared" si="22"/>
        <v>55</v>
      </c>
      <c r="AG116" s="145">
        <v>20</v>
      </c>
      <c r="AH116" s="145">
        <v>20</v>
      </c>
      <c r="AI116" s="145">
        <v>25</v>
      </c>
      <c r="AJ116" s="145">
        <f t="shared" si="23"/>
        <v>65</v>
      </c>
      <c r="AK116" s="140"/>
      <c r="AM116" s="140"/>
      <c r="AN116" s="140"/>
    </row>
    <row r="117" spans="1:52" s="186" customFormat="1" ht="19.5" customHeight="1">
      <c r="A117" s="177">
        <v>111</v>
      </c>
      <c r="M117" s="183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>
        <f>SUM(AU117:AZ117)</f>
        <v>271</v>
      </c>
      <c r="Y117" s="184">
        <v>25</v>
      </c>
      <c r="Z117" s="184">
        <v>25</v>
      </c>
      <c r="AA117" s="184">
        <v>25</v>
      </c>
      <c r="AB117" s="184">
        <f t="shared" si="21"/>
        <v>75</v>
      </c>
      <c r="AC117" s="184">
        <v>30</v>
      </c>
      <c r="AD117" s="184">
        <v>25</v>
      </c>
      <c r="AE117" s="184">
        <v>27</v>
      </c>
      <c r="AF117" s="184">
        <f t="shared" si="22"/>
        <v>82</v>
      </c>
      <c r="AG117" s="184">
        <v>20</v>
      </c>
      <c r="AH117" s="184">
        <v>15</v>
      </c>
      <c r="AI117" s="184">
        <v>20</v>
      </c>
      <c r="AJ117" s="182">
        <f t="shared" si="23"/>
        <v>55</v>
      </c>
      <c r="AK117" s="185"/>
      <c r="AM117" s="185"/>
      <c r="AN117" s="185"/>
      <c r="AP117" s="178" t="s">
        <v>1262</v>
      </c>
      <c r="AQ117" s="179" t="s">
        <v>775</v>
      </c>
      <c r="AR117" s="187">
        <v>494</v>
      </c>
      <c r="AS117" s="181" t="s">
        <v>20</v>
      </c>
      <c r="AT117" s="191" t="s">
        <v>857</v>
      </c>
      <c r="AU117" s="182">
        <v>58</v>
      </c>
      <c r="AV117" s="193">
        <v>60</v>
      </c>
      <c r="AW117" s="182">
        <v>50</v>
      </c>
      <c r="AX117" s="182">
        <v>15</v>
      </c>
      <c r="AY117" s="185"/>
      <c r="AZ117" s="182">
        <v>88</v>
      </c>
    </row>
    <row r="118" spans="1:52" ht="19.5" customHeight="1">
      <c r="A118" s="143">
        <v>116</v>
      </c>
      <c r="B118" s="144" t="s">
        <v>780</v>
      </c>
      <c r="C118" s="151" t="s">
        <v>781</v>
      </c>
      <c r="D118" s="166">
        <v>13</v>
      </c>
      <c r="E118" s="116" t="s">
        <v>16</v>
      </c>
      <c r="F118" s="144" t="s">
        <v>852</v>
      </c>
      <c r="G118" s="145">
        <v>75</v>
      </c>
      <c r="H118" s="145">
        <v>75</v>
      </c>
      <c r="I118" s="145">
        <v>63</v>
      </c>
      <c r="J118" s="140"/>
      <c r="K118" s="146">
        <v>62</v>
      </c>
      <c r="L118" s="140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>
        <f t="shared" si="20"/>
        <v>275</v>
      </c>
      <c r="Y118" s="141">
        <v>20</v>
      </c>
      <c r="Z118" s="141">
        <v>20</v>
      </c>
      <c r="AA118" s="141">
        <v>25</v>
      </c>
      <c r="AB118" s="149">
        <f t="shared" si="21"/>
        <v>65</v>
      </c>
      <c r="AC118" s="141">
        <v>20</v>
      </c>
      <c r="AD118" s="141">
        <v>20</v>
      </c>
      <c r="AE118" s="141">
        <v>20</v>
      </c>
      <c r="AF118" s="141">
        <f t="shared" si="22"/>
        <v>60</v>
      </c>
      <c r="AG118" s="141">
        <v>25</v>
      </c>
      <c r="AH118" s="141">
        <v>25</v>
      </c>
      <c r="AI118" s="141">
        <v>20</v>
      </c>
      <c r="AJ118" s="145">
        <f t="shared" si="23"/>
        <v>70</v>
      </c>
      <c r="AK118" s="140"/>
      <c r="AM118" s="140"/>
      <c r="AN118" s="140"/>
    </row>
    <row r="119" spans="1:52" ht="19.5" customHeight="1">
      <c r="A119" s="143">
        <v>45</v>
      </c>
      <c r="B119" s="144" t="s">
        <v>1267</v>
      </c>
      <c r="C119" s="161" t="s">
        <v>675</v>
      </c>
      <c r="D119" s="166">
        <v>320</v>
      </c>
      <c r="E119" s="116" t="s">
        <v>20</v>
      </c>
      <c r="F119" s="144" t="s">
        <v>852</v>
      </c>
      <c r="G119" s="145">
        <v>64</v>
      </c>
      <c r="H119" s="147">
        <v>60</v>
      </c>
      <c r="I119" s="145">
        <v>70</v>
      </c>
      <c r="J119" s="140"/>
      <c r="K119" s="146">
        <v>58</v>
      </c>
      <c r="L119" s="140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>
        <f t="shared" si="20"/>
        <v>252</v>
      </c>
      <c r="Y119" s="141">
        <v>25</v>
      </c>
      <c r="Z119" s="141">
        <v>22</v>
      </c>
      <c r="AA119" s="141">
        <v>25</v>
      </c>
      <c r="AB119" s="141">
        <f t="shared" si="21"/>
        <v>72</v>
      </c>
      <c r="AC119" s="141">
        <v>32</v>
      </c>
      <c r="AD119" s="141">
        <v>31</v>
      </c>
      <c r="AE119" s="141">
        <v>24</v>
      </c>
      <c r="AF119" s="141">
        <f t="shared" si="22"/>
        <v>87</v>
      </c>
      <c r="AG119" s="141">
        <v>25</v>
      </c>
      <c r="AH119" s="141">
        <v>25</v>
      </c>
      <c r="AI119" s="141">
        <v>20</v>
      </c>
      <c r="AJ119" s="145">
        <f t="shared" si="23"/>
        <v>70</v>
      </c>
      <c r="AK119" s="140"/>
      <c r="AM119" s="140"/>
      <c r="AN119" s="140"/>
    </row>
    <row r="120" spans="1:52">
      <c r="A120" s="143">
        <v>125</v>
      </c>
      <c r="B120" s="11" t="s">
        <v>793</v>
      </c>
      <c r="C120" s="116" t="s">
        <v>794</v>
      </c>
      <c r="D120" s="166">
        <v>49</v>
      </c>
      <c r="E120" s="116" t="s">
        <v>854</v>
      </c>
      <c r="F120" s="152"/>
      <c r="G120" s="145">
        <v>83</v>
      </c>
      <c r="H120" s="145">
        <v>89</v>
      </c>
      <c r="I120" s="145">
        <v>92</v>
      </c>
      <c r="J120" s="140"/>
      <c r="K120" s="140"/>
      <c r="L120" s="140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>
        <f t="shared" si="20"/>
        <v>264</v>
      </c>
      <c r="Y120" s="141">
        <v>15</v>
      </c>
      <c r="Z120" s="141">
        <v>15</v>
      </c>
      <c r="AA120" s="141">
        <v>15</v>
      </c>
      <c r="AB120" s="141">
        <f t="shared" si="21"/>
        <v>45</v>
      </c>
      <c r="AC120" s="141">
        <v>15</v>
      </c>
      <c r="AD120" s="141">
        <v>15</v>
      </c>
      <c r="AE120" s="141">
        <v>40</v>
      </c>
      <c r="AF120" s="141">
        <f t="shared" si="22"/>
        <v>70</v>
      </c>
      <c r="AG120" s="141">
        <v>15</v>
      </c>
      <c r="AH120" s="141">
        <v>15</v>
      </c>
      <c r="AI120" s="141">
        <v>10</v>
      </c>
      <c r="AJ120" s="145">
        <f t="shared" si="23"/>
        <v>40</v>
      </c>
      <c r="AK120" s="140"/>
      <c r="AM120" s="140"/>
      <c r="AN120" s="140"/>
    </row>
    <row r="121" spans="1:52">
      <c r="A121" s="143">
        <v>124</v>
      </c>
      <c r="B121" s="148" t="s">
        <v>792</v>
      </c>
      <c r="C121" s="163" t="s">
        <v>503</v>
      </c>
      <c r="D121" s="169">
        <v>393</v>
      </c>
      <c r="E121" s="170" t="s">
        <v>854</v>
      </c>
      <c r="F121" s="148"/>
      <c r="G121" s="145">
        <v>81</v>
      </c>
      <c r="H121" s="145">
        <v>90</v>
      </c>
      <c r="I121" s="145">
        <v>90</v>
      </c>
      <c r="J121" s="140"/>
      <c r="K121" s="140"/>
      <c r="L121" s="140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>
        <f t="shared" si="20"/>
        <v>261</v>
      </c>
      <c r="Y121" s="141">
        <v>20</v>
      </c>
      <c r="Z121" s="141">
        <v>15</v>
      </c>
      <c r="AA121" s="141">
        <v>15</v>
      </c>
      <c r="AB121" s="141">
        <f t="shared" si="21"/>
        <v>50</v>
      </c>
      <c r="AC121" s="141">
        <v>15</v>
      </c>
      <c r="AD121" s="141">
        <v>15</v>
      </c>
      <c r="AE121" s="141">
        <v>20</v>
      </c>
      <c r="AF121" s="141">
        <f t="shared" si="22"/>
        <v>50</v>
      </c>
      <c r="AG121" s="141">
        <v>15</v>
      </c>
      <c r="AH121" s="141">
        <v>15</v>
      </c>
      <c r="AI121" s="141">
        <v>15</v>
      </c>
      <c r="AJ121" s="145">
        <f t="shared" si="23"/>
        <v>45</v>
      </c>
      <c r="AK121" s="140"/>
      <c r="AM121" s="140"/>
      <c r="AN121" s="140"/>
    </row>
    <row r="122" spans="1:52" s="186" customFormat="1">
      <c r="A122" s="177">
        <v>76</v>
      </c>
      <c r="M122" s="183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2">
        <f>SUM(AU122:AZ122)</f>
        <v>190</v>
      </c>
      <c r="Y122" s="184">
        <v>15</v>
      </c>
      <c r="Z122" s="184">
        <v>15</v>
      </c>
      <c r="AA122" s="184">
        <v>15</v>
      </c>
      <c r="AB122" s="184">
        <f t="shared" si="21"/>
        <v>45</v>
      </c>
      <c r="AC122" s="184">
        <v>20</v>
      </c>
      <c r="AD122" s="184">
        <v>15</v>
      </c>
      <c r="AE122" s="184">
        <v>15</v>
      </c>
      <c r="AF122" s="184">
        <f t="shared" si="22"/>
        <v>50</v>
      </c>
      <c r="AG122" s="184">
        <v>25</v>
      </c>
      <c r="AH122" s="184">
        <v>25</v>
      </c>
      <c r="AI122" s="184">
        <v>25</v>
      </c>
      <c r="AJ122" s="182">
        <f t="shared" si="23"/>
        <v>75</v>
      </c>
      <c r="AK122" s="185"/>
      <c r="AM122" s="185"/>
      <c r="AN122" s="185"/>
      <c r="AP122" s="178" t="s">
        <v>726</v>
      </c>
      <c r="AQ122" s="188" t="s">
        <v>727</v>
      </c>
      <c r="AR122" s="187">
        <v>351</v>
      </c>
      <c r="AS122" s="181" t="s">
        <v>18</v>
      </c>
      <c r="AT122" s="178" t="s">
        <v>853</v>
      </c>
      <c r="AU122" s="182">
        <v>70</v>
      </c>
      <c r="AV122" s="193">
        <v>60</v>
      </c>
      <c r="AW122" s="182">
        <v>60</v>
      </c>
      <c r="AX122" s="185"/>
      <c r="AY122" s="185"/>
      <c r="AZ122" s="185"/>
    </row>
    <row r="123" spans="1:52" s="186" customFormat="1" ht="19.5" customHeight="1">
      <c r="A123" s="177">
        <v>123</v>
      </c>
      <c r="M123" s="183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2">
        <f>SUM(AU123:AZ123)</f>
        <v>170</v>
      </c>
      <c r="Y123" s="193">
        <v>27</v>
      </c>
      <c r="Z123" s="193">
        <v>27</v>
      </c>
      <c r="AA123" s="193">
        <v>27</v>
      </c>
      <c r="AB123" s="184">
        <f t="shared" si="17"/>
        <v>81</v>
      </c>
      <c r="AC123" s="194">
        <v>30</v>
      </c>
      <c r="AD123" s="194">
        <v>30</v>
      </c>
      <c r="AE123" s="194">
        <v>30</v>
      </c>
      <c r="AF123" s="184">
        <f t="shared" si="18"/>
        <v>90</v>
      </c>
      <c r="AG123" s="194">
        <v>30</v>
      </c>
      <c r="AH123" s="194">
        <v>30</v>
      </c>
      <c r="AI123" s="194">
        <v>30</v>
      </c>
      <c r="AJ123" s="182">
        <f t="shared" si="19"/>
        <v>90</v>
      </c>
      <c r="AK123" s="185"/>
      <c r="AM123" s="185"/>
      <c r="AN123" s="185"/>
      <c r="AP123" s="191" t="s">
        <v>790</v>
      </c>
      <c r="AQ123" s="181" t="s">
        <v>791</v>
      </c>
      <c r="AR123" s="187">
        <v>410</v>
      </c>
      <c r="AS123" s="181" t="s">
        <v>16</v>
      </c>
      <c r="AT123" s="192"/>
      <c r="AU123" s="182">
        <v>45</v>
      </c>
      <c r="AV123" s="182">
        <v>50</v>
      </c>
      <c r="AW123" s="182">
        <v>75</v>
      </c>
      <c r="AX123" s="185"/>
      <c r="AY123" s="185"/>
      <c r="AZ123" s="185"/>
    </row>
    <row r="124" spans="1:52">
      <c r="A124" s="143">
        <v>1</v>
      </c>
      <c r="B124" s="144" t="s">
        <v>610</v>
      </c>
      <c r="C124" s="151" t="s">
        <v>611</v>
      </c>
      <c r="D124" s="166">
        <v>5</v>
      </c>
      <c r="E124" s="116" t="s">
        <v>16</v>
      </c>
      <c r="F124" s="144" t="s">
        <v>795</v>
      </c>
      <c r="G124" s="145"/>
      <c r="H124" s="145">
        <v>56</v>
      </c>
      <c r="I124" s="145"/>
      <c r="J124" s="146">
        <v>57</v>
      </c>
      <c r="K124" s="146">
        <v>16</v>
      </c>
      <c r="L124" s="146">
        <v>10</v>
      </c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6">
        <f t="shared" si="16"/>
        <v>139</v>
      </c>
      <c r="Y124" s="141">
        <v>25</v>
      </c>
      <c r="Z124" s="141">
        <v>25</v>
      </c>
      <c r="AA124" s="141">
        <v>20</v>
      </c>
      <c r="AB124" s="141">
        <f t="shared" si="17"/>
        <v>70</v>
      </c>
      <c r="AC124" s="141">
        <v>20</v>
      </c>
      <c r="AD124" s="141">
        <v>20</v>
      </c>
      <c r="AE124" s="141">
        <v>20</v>
      </c>
      <c r="AF124" s="141">
        <f t="shared" si="18"/>
        <v>60</v>
      </c>
      <c r="AG124" s="141">
        <v>20</v>
      </c>
      <c r="AH124" s="141">
        <v>20</v>
      </c>
      <c r="AI124" s="141">
        <v>20</v>
      </c>
      <c r="AJ124" s="145">
        <f t="shared" si="19"/>
        <v>60</v>
      </c>
      <c r="AK124" s="140"/>
      <c r="AM124" s="140"/>
      <c r="AN124" s="140"/>
    </row>
    <row r="125" spans="1:52" s="189" customFormat="1" ht="19.5" customHeight="1">
      <c r="A125" s="177">
        <v>55</v>
      </c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2">
        <f>SUM(AU125:AZ125)</f>
        <v>0</v>
      </c>
      <c r="Y125" s="182"/>
      <c r="Z125" s="182"/>
      <c r="AA125" s="182"/>
      <c r="AB125" s="184">
        <f t="shared" si="17"/>
        <v>0</v>
      </c>
      <c r="AC125" s="185"/>
      <c r="AD125" s="185"/>
      <c r="AE125" s="185"/>
      <c r="AF125" s="184">
        <f t="shared" si="18"/>
        <v>0</v>
      </c>
      <c r="AG125" s="185"/>
      <c r="AH125" s="185"/>
      <c r="AI125" s="185"/>
      <c r="AJ125" s="182">
        <f t="shared" si="19"/>
        <v>0</v>
      </c>
      <c r="AK125" s="190"/>
      <c r="AM125" s="185"/>
      <c r="AN125" s="185"/>
      <c r="AP125" s="178" t="s">
        <v>691</v>
      </c>
      <c r="AQ125" s="188" t="s">
        <v>692</v>
      </c>
      <c r="AR125" s="187">
        <v>154</v>
      </c>
      <c r="AS125" s="181" t="s">
        <v>14</v>
      </c>
      <c r="AT125" s="178" t="s">
        <v>795</v>
      </c>
      <c r="AU125" s="182"/>
      <c r="AV125" s="182"/>
      <c r="AW125" s="182"/>
      <c r="AX125" s="185"/>
      <c r="AY125" s="182"/>
      <c r="AZ125" s="185"/>
    </row>
    <row r="126" spans="1:52" s="186" customFormat="1" ht="19.5" customHeight="1">
      <c r="A126" s="177">
        <v>122</v>
      </c>
      <c r="M126" s="183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2">
        <f>SUM(AU126:AZ126)</f>
        <v>0</v>
      </c>
      <c r="Y126" s="184"/>
      <c r="Z126" s="184"/>
      <c r="AA126" s="184"/>
      <c r="AB126" s="184"/>
      <c r="AC126" s="184"/>
      <c r="AD126" s="184"/>
      <c r="AE126" s="184"/>
      <c r="AF126" s="184"/>
      <c r="AG126" s="185"/>
      <c r="AH126" s="185"/>
      <c r="AI126" s="185"/>
      <c r="AJ126" s="182">
        <f t="shared" si="19"/>
        <v>0</v>
      </c>
      <c r="AK126" s="185"/>
      <c r="AM126" s="185"/>
      <c r="AN126" s="185"/>
      <c r="AP126" s="191" t="s">
        <v>789</v>
      </c>
      <c r="AQ126" s="181"/>
      <c r="AR126" s="187">
        <v>456</v>
      </c>
      <c r="AS126" s="181" t="s">
        <v>18</v>
      </c>
      <c r="AT126" s="191" t="s">
        <v>853</v>
      </c>
      <c r="AU126" s="182"/>
      <c r="AV126" s="196"/>
      <c r="AW126" s="182"/>
      <c r="AX126" s="185"/>
      <c r="AY126" s="185"/>
      <c r="AZ126" s="185"/>
    </row>
    <row r="127" spans="1:52">
      <c r="H127" s="153"/>
      <c r="AG127" s="154"/>
      <c r="AH127" s="154"/>
      <c r="AI127" s="154"/>
    </row>
    <row r="128" spans="1:52">
      <c r="L128" s="142" t="s">
        <v>880</v>
      </c>
    </row>
    <row r="130" spans="2:36" s="68" customFormat="1">
      <c r="B130" s="68" t="s">
        <v>1286</v>
      </c>
      <c r="F130" s="68" t="s">
        <v>1287</v>
      </c>
      <c r="Y130" s="105"/>
      <c r="Z130" s="105"/>
      <c r="AA130" s="105"/>
      <c r="AB130" s="105"/>
      <c r="AC130" s="104"/>
      <c r="AD130" s="104"/>
      <c r="AE130" s="104"/>
      <c r="AF130" s="104"/>
      <c r="AJ130" s="105"/>
    </row>
  </sheetData>
  <sortState ref="A2:M126">
    <sortCondition descending="1" ref="M2"/>
  </sortState>
  <conditionalFormatting sqref="G118:L121 G124:L124 AU125:AZ126 AU122:AZ123 AU117:AZ117 G2:L4 AU5:AZ5 G6:L116">
    <cfRule type="cellIs" dxfId="3" priority="1" operator="lessThan">
      <formula>35</formula>
    </cfRule>
  </conditionalFormatting>
  <pageMargins left="0.31496062992125984" right="0.31496062992125984" top="0.55118110236220474" bottom="0.35433070866141736" header="0.31496062992125984" footer="0.31496062992125984"/>
  <pageSetup orientation="portrait" r:id="rId1"/>
  <ignoredErrors>
    <ignoredError sqref="A1:L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P154"/>
  <sheetViews>
    <sheetView zoomScaleNormal="100" workbookViewId="0">
      <selection activeCell="E14" sqref="E14"/>
    </sheetView>
  </sheetViews>
  <sheetFormatPr defaultRowHeight="15.75"/>
  <cols>
    <col min="1" max="1" width="34" customWidth="1"/>
    <col min="2" max="2" width="42" customWidth="1"/>
    <col min="3" max="3" width="18.25" customWidth="1"/>
    <col min="4" max="4" width="7.75" style="3" customWidth="1"/>
    <col min="5" max="5" width="20.125" customWidth="1"/>
    <col min="6" max="6" width="8.875" style="3" customWidth="1"/>
    <col min="7" max="7" width="24" customWidth="1"/>
    <col min="8" max="8" width="8.875" style="3" customWidth="1"/>
    <col min="9" max="9" width="21.875" customWidth="1"/>
    <col min="10" max="10" width="7.875" style="3" customWidth="1"/>
    <col min="11" max="11" width="12.25" customWidth="1"/>
    <col min="12" max="12" width="10.25" style="3" customWidth="1"/>
    <col min="13" max="13" width="17.375" customWidth="1"/>
    <col min="14" max="14" width="9" style="3" customWidth="1"/>
    <col min="15" max="15" width="13.375" customWidth="1"/>
    <col min="16" max="16" width="20.125" style="3" customWidth="1"/>
  </cols>
  <sheetData>
    <row r="1" spans="1:16">
      <c r="A1" t="s">
        <v>31</v>
      </c>
      <c r="B1" t="s">
        <v>316</v>
      </c>
      <c r="C1" t="s">
        <v>32</v>
      </c>
      <c r="D1" s="3" t="s">
        <v>180</v>
      </c>
      <c r="E1" t="s">
        <v>33</v>
      </c>
      <c r="F1" s="3" t="s">
        <v>308</v>
      </c>
      <c r="G1" t="s">
        <v>34</v>
      </c>
      <c r="H1" s="3" t="s">
        <v>313</v>
      </c>
      <c r="I1" t="s">
        <v>46</v>
      </c>
      <c r="J1" s="3" t="s">
        <v>309</v>
      </c>
      <c r="K1" t="s">
        <v>164</v>
      </c>
      <c r="L1" s="3" t="s">
        <v>310</v>
      </c>
      <c r="M1" t="s">
        <v>165</v>
      </c>
      <c r="N1" s="3" t="s">
        <v>311</v>
      </c>
      <c r="O1" t="s">
        <v>166</v>
      </c>
      <c r="P1" s="3" t="s">
        <v>312</v>
      </c>
    </row>
    <row r="2" spans="1:16">
      <c r="A2" t="s">
        <v>36</v>
      </c>
      <c r="B2" t="s">
        <v>317</v>
      </c>
      <c r="C2" t="s">
        <v>37</v>
      </c>
      <c r="D2" s="3" t="s">
        <v>175</v>
      </c>
      <c r="E2" t="s">
        <v>38</v>
      </c>
      <c r="F2" s="3" t="s">
        <v>293</v>
      </c>
    </row>
    <row r="3" spans="1:16">
      <c r="A3" t="s">
        <v>39</v>
      </c>
      <c r="B3" t="s">
        <v>318</v>
      </c>
      <c r="C3" t="s">
        <v>40</v>
      </c>
      <c r="D3" s="3" t="s">
        <v>174</v>
      </c>
      <c r="E3" t="s">
        <v>41</v>
      </c>
      <c r="F3" s="3" t="s">
        <v>213</v>
      </c>
      <c r="G3" t="s">
        <v>35</v>
      </c>
    </row>
    <row r="4" spans="1:16">
      <c r="A4" t="s">
        <v>48</v>
      </c>
      <c r="B4" t="s">
        <v>318</v>
      </c>
      <c r="C4" t="s">
        <v>40</v>
      </c>
      <c r="D4" s="3" t="s">
        <v>174</v>
      </c>
    </row>
    <row r="5" spans="1:16">
      <c r="A5" t="s">
        <v>49</v>
      </c>
      <c r="C5" t="s">
        <v>336</v>
      </c>
      <c r="D5" s="3" t="s">
        <v>186</v>
      </c>
      <c r="E5" t="s">
        <v>81</v>
      </c>
      <c r="F5" s="3" t="s">
        <v>208</v>
      </c>
      <c r="G5" t="s">
        <v>171</v>
      </c>
      <c r="H5" s="3" t="s">
        <v>266</v>
      </c>
      <c r="I5" t="s">
        <v>82</v>
      </c>
      <c r="J5" s="3" t="s">
        <v>295</v>
      </c>
    </row>
    <row r="6" spans="1:16">
      <c r="A6" t="s">
        <v>42</v>
      </c>
      <c r="C6" t="s">
        <v>43</v>
      </c>
      <c r="D6" s="3" t="s">
        <v>176</v>
      </c>
      <c r="E6" t="s">
        <v>44</v>
      </c>
      <c r="F6" s="3" t="s">
        <v>192</v>
      </c>
      <c r="G6" t="s">
        <v>45</v>
      </c>
      <c r="H6" s="3" t="s">
        <v>237</v>
      </c>
      <c r="I6" s="2" t="s">
        <v>139</v>
      </c>
      <c r="J6" s="3" t="s">
        <v>257</v>
      </c>
    </row>
    <row r="7" spans="1:16">
      <c r="A7" t="s">
        <v>50</v>
      </c>
      <c r="C7" t="s">
        <v>83</v>
      </c>
      <c r="D7" s="3" t="s">
        <v>177</v>
      </c>
      <c r="E7" t="s">
        <v>84</v>
      </c>
      <c r="F7" s="3" t="s">
        <v>193</v>
      </c>
      <c r="G7" t="s">
        <v>88</v>
      </c>
      <c r="H7" s="3" t="s">
        <v>199</v>
      </c>
    </row>
    <row r="8" spans="1:16">
      <c r="A8" t="s">
        <v>51</v>
      </c>
      <c r="C8" t="s">
        <v>161</v>
      </c>
      <c r="D8" s="3" t="s">
        <v>186</v>
      </c>
      <c r="E8" t="s">
        <v>85</v>
      </c>
      <c r="F8" s="3" t="s">
        <v>249</v>
      </c>
      <c r="G8" t="s">
        <v>86</v>
      </c>
      <c r="H8" s="3" t="s">
        <v>278</v>
      </c>
      <c r="I8" t="s">
        <v>87</v>
      </c>
      <c r="J8" s="3" t="s">
        <v>284</v>
      </c>
    </row>
    <row r="9" spans="1:16">
      <c r="A9" t="s">
        <v>52</v>
      </c>
      <c r="C9" t="s">
        <v>89</v>
      </c>
      <c r="D9" s="3" t="s">
        <v>178</v>
      </c>
      <c r="E9" t="s">
        <v>337</v>
      </c>
      <c r="F9" s="3" t="s">
        <v>193</v>
      </c>
      <c r="G9" t="s">
        <v>90</v>
      </c>
      <c r="H9" s="3" t="s">
        <v>235</v>
      </c>
    </row>
    <row r="10" spans="1:16">
      <c r="A10" t="s">
        <v>53</v>
      </c>
      <c r="C10" t="s">
        <v>91</v>
      </c>
      <c r="D10" s="3" t="s">
        <v>194</v>
      </c>
      <c r="E10" t="s">
        <v>159</v>
      </c>
      <c r="F10" s="3" t="s">
        <v>248</v>
      </c>
      <c r="G10" t="s">
        <v>92</v>
      </c>
      <c r="H10" s="3" t="s">
        <v>253</v>
      </c>
      <c r="I10" t="s">
        <v>143</v>
      </c>
      <c r="J10" s="3" t="s">
        <v>267</v>
      </c>
      <c r="K10" t="s">
        <v>93</v>
      </c>
      <c r="L10" s="3" t="s">
        <v>281</v>
      </c>
    </row>
    <row r="11" spans="1:16">
      <c r="A11" t="s">
        <v>54</v>
      </c>
      <c r="C11" t="s">
        <v>94</v>
      </c>
      <c r="D11" s="3" t="s">
        <v>187</v>
      </c>
      <c r="E11" t="s">
        <v>96</v>
      </c>
      <c r="F11" s="3" t="s">
        <v>245</v>
      </c>
      <c r="G11" t="s">
        <v>170</v>
      </c>
      <c r="H11" s="3" t="s">
        <v>255</v>
      </c>
      <c r="I11" t="s">
        <v>97</v>
      </c>
      <c r="J11" s="3" t="s">
        <v>273</v>
      </c>
      <c r="K11" t="s">
        <v>98</v>
      </c>
      <c r="L11" s="3" t="s">
        <v>283</v>
      </c>
      <c r="M11" t="s">
        <v>99</v>
      </c>
      <c r="N11" s="3" t="s">
        <v>299</v>
      </c>
    </row>
    <row r="12" spans="1:16">
      <c r="A12" t="s">
        <v>55</v>
      </c>
      <c r="C12" t="s">
        <v>95</v>
      </c>
      <c r="D12" s="3" t="s">
        <v>187</v>
      </c>
      <c r="E12" t="s">
        <v>169</v>
      </c>
      <c r="F12" s="3" t="s">
        <v>247</v>
      </c>
      <c r="G12" t="s">
        <v>141</v>
      </c>
      <c r="H12" s="3" t="s">
        <v>259</v>
      </c>
      <c r="I12" t="s">
        <v>100</v>
      </c>
      <c r="J12" s="3" t="s">
        <v>268</v>
      </c>
      <c r="K12" t="s">
        <v>101</v>
      </c>
      <c r="L12" s="3" t="s">
        <v>301</v>
      </c>
    </row>
    <row r="13" spans="1:16">
      <c r="A13" t="s">
        <v>56</v>
      </c>
      <c r="C13" t="s">
        <v>102</v>
      </c>
      <c r="D13" s="3" t="s">
        <v>198</v>
      </c>
      <c r="E13" t="s">
        <v>103</v>
      </c>
      <c r="F13" s="3" t="s">
        <v>239</v>
      </c>
      <c r="G13" t="s">
        <v>104</v>
      </c>
      <c r="H13" s="3" t="s">
        <v>260</v>
      </c>
      <c r="I13" t="s">
        <v>105</v>
      </c>
      <c r="J13" s="3" t="s">
        <v>294</v>
      </c>
    </row>
    <row r="14" spans="1:16">
      <c r="A14" t="s">
        <v>57</v>
      </c>
      <c r="C14" t="s">
        <v>106</v>
      </c>
      <c r="D14" s="3" t="s">
        <v>185</v>
      </c>
      <c r="E14" t="s">
        <v>107</v>
      </c>
      <c r="F14" s="3" t="s">
        <v>195</v>
      </c>
      <c r="G14" t="s">
        <v>108</v>
      </c>
      <c r="H14" s="3" t="s">
        <v>241</v>
      </c>
      <c r="I14" t="s">
        <v>109</v>
      </c>
      <c r="J14" s="3" t="s">
        <v>265</v>
      </c>
      <c r="K14" s="5" t="s">
        <v>144</v>
      </c>
      <c r="L14" s="3" t="s">
        <v>274</v>
      </c>
    </row>
    <row r="15" spans="1:16">
      <c r="A15" t="s">
        <v>58</v>
      </c>
      <c r="C15" t="s">
        <v>336</v>
      </c>
      <c r="D15" s="3" t="s">
        <v>187</v>
      </c>
      <c r="E15" t="s">
        <v>110</v>
      </c>
      <c r="F15" s="3" t="s">
        <v>211</v>
      </c>
      <c r="G15" t="s">
        <v>111</v>
      </c>
      <c r="H15" s="3" t="s">
        <v>250</v>
      </c>
      <c r="I15" t="s">
        <v>112</v>
      </c>
      <c r="J15" s="3" t="s">
        <v>258</v>
      </c>
      <c r="K15" s="5" t="s">
        <v>149</v>
      </c>
      <c r="L15" s="3" t="s">
        <v>291</v>
      </c>
    </row>
    <row r="16" spans="1:16">
      <c r="A16" t="s">
        <v>59</v>
      </c>
      <c r="B16" t="s">
        <v>319</v>
      </c>
      <c r="C16" t="s">
        <v>113</v>
      </c>
      <c r="D16" s="3" t="s">
        <v>197</v>
      </c>
      <c r="E16" t="s">
        <v>156</v>
      </c>
      <c r="F16" s="3" t="s">
        <v>209</v>
      </c>
      <c r="G16" t="s">
        <v>114</v>
      </c>
      <c r="H16" s="3" t="s">
        <v>246</v>
      </c>
      <c r="I16" t="s">
        <v>115</v>
      </c>
      <c r="J16" s="3" t="s">
        <v>276</v>
      </c>
    </row>
    <row r="17" spans="1:16">
      <c r="A17" t="s">
        <v>60</v>
      </c>
      <c r="B17" t="s">
        <v>320</v>
      </c>
      <c r="C17" t="s">
        <v>116</v>
      </c>
      <c r="D17" s="3" t="s">
        <v>188</v>
      </c>
      <c r="E17" t="s">
        <v>117</v>
      </c>
      <c r="F17" s="3" t="s">
        <v>196</v>
      </c>
      <c r="G17" s="5" t="s">
        <v>173</v>
      </c>
      <c r="H17" s="3" t="s">
        <v>207</v>
      </c>
      <c r="I17" t="s">
        <v>118</v>
      </c>
      <c r="J17" s="3" t="s">
        <v>235</v>
      </c>
      <c r="K17" t="s">
        <v>119</v>
      </c>
      <c r="L17" s="3" t="s">
        <v>240</v>
      </c>
      <c r="M17" t="s">
        <v>120</v>
      </c>
      <c r="N17" s="3" t="s">
        <v>272</v>
      </c>
    </row>
    <row r="18" spans="1:16">
      <c r="A18" t="s">
        <v>61</v>
      </c>
      <c r="C18" t="s">
        <v>172</v>
      </c>
      <c r="D18" s="3" t="s">
        <v>238</v>
      </c>
      <c r="E18" t="s">
        <v>121</v>
      </c>
      <c r="F18" s="3" t="s">
        <v>264</v>
      </c>
      <c r="G18" t="s">
        <v>122</v>
      </c>
      <c r="H18" s="3" t="s">
        <v>285</v>
      </c>
      <c r="I18" t="s">
        <v>148</v>
      </c>
      <c r="J18" s="3" t="s">
        <v>297</v>
      </c>
      <c r="K18" t="s">
        <v>82</v>
      </c>
      <c r="L18" s="3" t="s">
        <v>306</v>
      </c>
    </row>
    <row r="19" spans="1:16">
      <c r="A19" t="s">
        <v>62</v>
      </c>
      <c r="C19" s="5" t="s">
        <v>123</v>
      </c>
      <c r="D19" s="3" t="s">
        <v>213</v>
      </c>
      <c r="E19" t="s">
        <v>124</v>
      </c>
      <c r="F19" s="3" t="s">
        <v>244</v>
      </c>
      <c r="G19" t="s">
        <v>125</v>
      </c>
      <c r="H19" s="3" t="s">
        <v>256</v>
      </c>
      <c r="I19" t="s">
        <v>126</v>
      </c>
      <c r="J19" s="3" t="s">
        <v>282</v>
      </c>
      <c r="K19" t="s">
        <v>168</v>
      </c>
      <c r="L19" s="3" t="s">
        <v>300</v>
      </c>
    </row>
    <row r="20" spans="1:16">
      <c r="A20" t="s">
        <v>63</v>
      </c>
      <c r="B20" t="s">
        <v>321</v>
      </c>
      <c r="C20" s="2" t="s">
        <v>158</v>
      </c>
      <c r="D20" s="4" t="s">
        <v>212</v>
      </c>
      <c r="E20" t="s">
        <v>127</v>
      </c>
      <c r="F20" s="3" t="s">
        <v>236</v>
      </c>
      <c r="G20" t="s">
        <v>128</v>
      </c>
      <c r="H20" s="3" t="s">
        <v>263</v>
      </c>
      <c r="I20" t="s">
        <v>129</v>
      </c>
      <c r="J20" s="3" t="s">
        <v>275</v>
      </c>
      <c r="K20" s="5" t="s">
        <v>163</v>
      </c>
      <c r="L20" s="3" t="s">
        <v>292</v>
      </c>
    </row>
    <row r="21" spans="1:16">
      <c r="A21" t="s">
        <v>64</v>
      </c>
      <c r="C21" t="s">
        <v>130</v>
      </c>
      <c r="D21" s="3" t="s">
        <v>210</v>
      </c>
      <c r="E21" t="s">
        <v>131</v>
      </c>
      <c r="F21" s="3" t="s">
        <v>254</v>
      </c>
      <c r="G21" t="s">
        <v>132</v>
      </c>
      <c r="H21" s="3" t="s">
        <v>269</v>
      </c>
      <c r="I21" t="s">
        <v>145</v>
      </c>
      <c r="J21" s="3" t="s">
        <v>277</v>
      </c>
      <c r="K21" t="s">
        <v>150</v>
      </c>
      <c r="L21" s="3" t="s">
        <v>302</v>
      </c>
    </row>
    <row r="22" spans="1:16">
      <c r="A22" t="s">
        <v>65</v>
      </c>
      <c r="C22" t="s">
        <v>147</v>
      </c>
      <c r="D22" s="3" t="s">
        <v>287</v>
      </c>
      <c r="E22" t="s">
        <v>146</v>
      </c>
      <c r="F22" s="3" t="s">
        <v>286</v>
      </c>
      <c r="G22" t="s">
        <v>133</v>
      </c>
      <c r="H22" s="3" t="s">
        <v>288</v>
      </c>
      <c r="I22" t="s">
        <v>134</v>
      </c>
      <c r="J22" s="3" t="s">
        <v>296</v>
      </c>
      <c r="K22" t="s">
        <v>135</v>
      </c>
      <c r="L22" s="3" t="s">
        <v>305</v>
      </c>
      <c r="M22" s="2" t="s">
        <v>167</v>
      </c>
      <c r="N22" s="3" t="s">
        <v>303</v>
      </c>
      <c r="O22" s="2" t="s">
        <v>151</v>
      </c>
      <c r="P22" s="3" t="s">
        <v>304</v>
      </c>
    </row>
    <row r="23" spans="1:16">
      <c r="A23" t="s">
        <v>66</v>
      </c>
    </row>
    <row r="24" spans="1:16">
      <c r="A24" t="s">
        <v>67</v>
      </c>
    </row>
    <row r="25" spans="1:16">
      <c r="A25" t="s">
        <v>68</v>
      </c>
    </row>
    <row r="26" spans="1:16">
      <c r="A26" t="s">
        <v>69</v>
      </c>
    </row>
    <row r="27" spans="1:16">
      <c r="A27" t="s">
        <v>70</v>
      </c>
    </row>
    <row r="28" spans="1:16">
      <c r="A28" t="s">
        <v>71</v>
      </c>
    </row>
    <row r="29" spans="1:16">
      <c r="A29" t="s">
        <v>72</v>
      </c>
    </row>
    <row r="30" spans="1:16">
      <c r="A30" t="s">
        <v>73</v>
      </c>
      <c r="C30" t="s">
        <v>231</v>
      </c>
      <c r="D30" s="3" t="s">
        <v>328</v>
      </c>
      <c r="E30" t="s">
        <v>13</v>
      </c>
      <c r="F30" s="3" t="s">
        <v>328</v>
      </c>
      <c r="G30" t="s">
        <v>224</v>
      </c>
      <c r="H30" s="3" t="s">
        <v>327</v>
      </c>
    </row>
    <row r="31" spans="1:16">
      <c r="A31" t="s">
        <v>74</v>
      </c>
      <c r="C31" t="s">
        <v>231</v>
      </c>
      <c r="D31" s="3" t="s">
        <v>324</v>
      </c>
      <c r="E31" t="s">
        <v>13</v>
      </c>
      <c r="F31" s="3" t="s">
        <v>324</v>
      </c>
    </row>
    <row r="32" spans="1:16">
      <c r="A32" t="s">
        <v>75</v>
      </c>
      <c r="C32" t="s">
        <v>6</v>
      </c>
      <c r="D32" s="3" t="s">
        <v>324</v>
      </c>
      <c r="E32" t="s">
        <v>6</v>
      </c>
      <c r="F32" s="3" t="s">
        <v>328</v>
      </c>
    </row>
    <row r="33" spans="1:6" ht="19.5">
      <c r="A33" t="s">
        <v>76</v>
      </c>
      <c r="B33" s="6"/>
      <c r="C33" t="s">
        <v>231</v>
      </c>
      <c r="D33" s="3" t="s">
        <v>325</v>
      </c>
      <c r="E33" t="s">
        <v>13</v>
      </c>
      <c r="F33" s="3" t="s">
        <v>325</v>
      </c>
    </row>
    <row r="34" spans="1:6">
      <c r="A34" t="s">
        <v>77</v>
      </c>
      <c r="C34" t="s">
        <v>230</v>
      </c>
      <c r="D34" s="3" t="s">
        <v>327</v>
      </c>
      <c r="E34" t="s">
        <v>231</v>
      </c>
      <c r="F34" s="3" t="s">
        <v>326</v>
      </c>
    </row>
    <row r="35" spans="1:6">
      <c r="A35" t="s">
        <v>78</v>
      </c>
      <c r="C35" t="s">
        <v>230</v>
      </c>
      <c r="D35" s="3" t="s">
        <v>326</v>
      </c>
      <c r="E35" t="s">
        <v>6</v>
      </c>
      <c r="F35" s="3" t="s">
        <v>325</v>
      </c>
    </row>
    <row r="36" spans="1:6">
      <c r="A36" t="s">
        <v>79</v>
      </c>
      <c r="C36" t="s">
        <v>231</v>
      </c>
      <c r="D36" s="3" t="s">
        <v>327</v>
      </c>
      <c r="E36" t="s">
        <v>13</v>
      </c>
      <c r="F36" s="3" t="s">
        <v>326</v>
      </c>
    </row>
    <row r="41" spans="1:6">
      <c r="D41" t="s">
        <v>40</v>
      </c>
      <c r="E41" s="3"/>
      <c r="F41" s="3" t="s">
        <v>174</v>
      </c>
    </row>
    <row r="42" spans="1:6">
      <c r="D42" t="s">
        <v>37</v>
      </c>
      <c r="E42" s="3"/>
      <c r="F42" s="3" t="s">
        <v>175</v>
      </c>
    </row>
    <row r="43" spans="1:6">
      <c r="D43" t="s">
        <v>179</v>
      </c>
      <c r="E43" s="3"/>
      <c r="F43" s="3" t="s">
        <v>176</v>
      </c>
    </row>
    <row r="44" spans="1:6">
      <c r="D44" t="s">
        <v>83</v>
      </c>
      <c r="E44" s="3"/>
      <c r="F44" s="3" t="s">
        <v>177</v>
      </c>
    </row>
    <row r="45" spans="1:6">
      <c r="D45" t="s">
        <v>181</v>
      </c>
      <c r="E45" s="3"/>
      <c r="F45" s="3" t="s">
        <v>178</v>
      </c>
    </row>
    <row r="46" spans="1:6">
      <c r="D46" t="s">
        <v>106</v>
      </c>
      <c r="E46" s="3"/>
      <c r="F46" s="3" t="s">
        <v>185</v>
      </c>
    </row>
    <row r="47" spans="1:6">
      <c r="D47" t="s">
        <v>80</v>
      </c>
      <c r="E47" s="3"/>
      <c r="F47" s="3" t="s">
        <v>186</v>
      </c>
    </row>
    <row r="48" spans="1:6">
      <c r="D48" t="s">
        <v>182</v>
      </c>
      <c r="E48" s="3"/>
      <c r="F48" s="3" t="s">
        <v>187</v>
      </c>
    </row>
    <row r="49" spans="4:6">
      <c r="D49" t="s">
        <v>183</v>
      </c>
      <c r="E49" s="3"/>
      <c r="F49" s="3" t="s">
        <v>188</v>
      </c>
    </row>
    <row r="50" spans="4:6">
      <c r="D50" t="s">
        <v>184</v>
      </c>
      <c r="E50" s="3"/>
      <c r="F50" s="3" t="s">
        <v>189</v>
      </c>
    </row>
    <row r="51" spans="4:6">
      <c r="D51" t="s">
        <v>5</v>
      </c>
      <c r="E51" s="3"/>
      <c r="F51" s="3" t="s">
        <v>190</v>
      </c>
    </row>
    <row r="52" spans="4:6">
      <c r="D52"/>
      <c r="E52" s="3"/>
    </row>
    <row r="53" spans="4:6">
      <c r="D53" t="s">
        <v>44</v>
      </c>
      <c r="E53" s="3"/>
      <c r="F53" s="3" t="s">
        <v>192</v>
      </c>
    </row>
    <row r="54" spans="4:6">
      <c r="D54" t="s">
        <v>84</v>
      </c>
      <c r="E54" s="3"/>
      <c r="F54" s="3" t="s">
        <v>193</v>
      </c>
    </row>
    <row r="55" spans="4:6">
      <c r="D55" t="s">
        <v>191</v>
      </c>
      <c r="E55" s="3"/>
      <c r="F55" s="3" t="s">
        <v>194</v>
      </c>
    </row>
    <row r="56" spans="4:6">
      <c r="D56" t="s">
        <v>107</v>
      </c>
      <c r="E56" s="3"/>
      <c r="F56" s="3" t="s">
        <v>195</v>
      </c>
    </row>
    <row r="57" spans="4:6">
      <c r="D57" t="s">
        <v>117</v>
      </c>
      <c r="E57" s="3"/>
      <c r="F57" s="3" t="s">
        <v>196</v>
      </c>
    </row>
    <row r="58" spans="4:6">
      <c r="D58" t="s">
        <v>113</v>
      </c>
      <c r="E58" s="3"/>
      <c r="F58" s="3" t="s">
        <v>197</v>
      </c>
    </row>
    <row r="59" spans="4:6">
      <c r="D59" t="s">
        <v>155</v>
      </c>
      <c r="E59" s="3"/>
      <c r="F59" s="3" t="s">
        <v>198</v>
      </c>
    </row>
    <row r="60" spans="4:6">
      <c r="D60" t="s">
        <v>88</v>
      </c>
      <c r="E60" s="3"/>
      <c r="F60" s="3" t="s">
        <v>199</v>
      </c>
    </row>
    <row r="61" spans="4:6">
      <c r="D61" t="s">
        <v>184</v>
      </c>
      <c r="E61" s="3"/>
      <c r="F61" s="3" t="s">
        <v>205</v>
      </c>
    </row>
    <row r="62" spans="4:6">
      <c r="D62" t="s">
        <v>5</v>
      </c>
      <c r="E62" s="3"/>
      <c r="F62" s="3" t="s">
        <v>206</v>
      </c>
    </row>
    <row r="63" spans="4:6">
      <c r="D63"/>
      <c r="E63" s="3"/>
    </row>
    <row r="64" spans="4:6">
      <c r="D64" t="s">
        <v>200</v>
      </c>
      <c r="E64" s="3"/>
      <c r="F64" s="3" t="s">
        <v>207</v>
      </c>
    </row>
    <row r="65" spans="4:6">
      <c r="D65" t="s">
        <v>201</v>
      </c>
      <c r="E65" s="3"/>
      <c r="F65" s="3" t="s">
        <v>208</v>
      </c>
    </row>
    <row r="66" spans="4:6">
      <c r="D66" t="s">
        <v>202</v>
      </c>
      <c r="E66" s="3"/>
      <c r="F66" s="3" t="s">
        <v>209</v>
      </c>
    </row>
    <row r="67" spans="4:6">
      <c r="D67" t="s">
        <v>157</v>
      </c>
      <c r="E67" s="3"/>
      <c r="F67" s="3" t="s">
        <v>210</v>
      </c>
    </row>
    <row r="68" spans="4:6">
      <c r="D68" t="s">
        <v>110</v>
      </c>
      <c r="E68" s="3"/>
      <c r="F68" s="3" t="s">
        <v>211</v>
      </c>
    </row>
    <row r="69" spans="4:6">
      <c r="D69" t="s">
        <v>203</v>
      </c>
      <c r="E69" s="3"/>
      <c r="F69" s="3" t="s">
        <v>212</v>
      </c>
    </row>
    <row r="70" spans="4:6">
      <c r="D70" t="s">
        <v>204</v>
      </c>
      <c r="E70" s="3"/>
      <c r="F70" s="3" t="s">
        <v>213</v>
      </c>
    </row>
    <row r="71" spans="4:6">
      <c r="D71" t="s">
        <v>184</v>
      </c>
      <c r="E71" s="3"/>
      <c r="F71" s="3" t="s">
        <v>233</v>
      </c>
    </row>
    <row r="72" spans="4:6">
      <c r="D72" t="s">
        <v>5</v>
      </c>
      <c r="E72" s="3"/>
      <c r="F72" s="3" t="s">
        <v>234</v>
      </c>
    </row>
    <row r="73" spans="4:6">
      <c r="D73"/>
      <c r="E73" s="3"/>
    </row>
    <row r="74" spans="4:6">
      <c r="D74" t="s">
        <v>214</v>
      </c>
      <c r="E74" s="3"/>
      <c r="F74" s="3" t="s">
        <v>235</v>
      </c>
    </row>
    <row r="75" spans="4:6">
      <c r="D75" t="s">
        <v>127</v>
      </c>
      <c r="E75" s="3"/>
      <c r="F75" s="3" t="s">
        <v>236</v>
      </c>
    </row>
    <row r="76" spans="4:6">
      <c r="D76" t="s">
        <v>215</v>
      </c>
      <c r="E76" s="3"/>
      <c r="F76" s="3" t="s">
        <v>237</v>
      </c>
    </row>
    <row r="77" spans="4:6">
      <c r="D77" t="s">
        <v>172</v>
      </c>
      <c r="E77" s="3"/>
      <c r="F77" s="3" t="s">
        <v>238</v>
      </c>
    </row>
    <row r="78" spans="4:6">
      <c r="D78" t="s">
        <v>216</v>
      </c>
      <c r="E78" s="3"/>
      <c r="F78" s="3" t="s">
        <v>239</v>
      </c>
    </row>
    <row r="79" spans="4:6">
      <c r="D79" t="s">
        <v>136</v>
      </c>
      <c r="E79" s="3"/>
      <c r="F79" s="3" t="s">
        <v>240</v>
      </c>
    </row>
    <row r="80" spans="4:6">
      <c r="D80" t="s">
        <v>217</v>
      </c>
      <c r="E80" s="3"/>
      <c r="F80" s="3" t="s">
        <v>241</v>
      </c>
    </row>
    <row r="81" spans="4:6">
      <c r="D81" t="s">
        <v>184</v>
      </c>
      <c r="E81" s="3"/>
      <c r="F81" s="3" t="s">
        <v>242</v>
      </c>
    </row>
    <row r="82" spans="4:6">
      <c r="D82" t="s">
        <v>5</v>
      </c>
      <c r="E82" s="3"/>
      <c r="F82" s="3" t="s">
        <v>243</v>
      </c>
    </row>
    <row r="83" spans="4:6">
      <c r="D83"/>
      <c r="E83" s="3"/>
    </row>
    <row r="84" spans="4:6">
      <c r="D84" t="s">
        <v>124</v>
      </c>
      <c r="E84" s="3"/>
      <c r="F84" s="3" t="s">
        <v>244</v>
      </c>
    </row>
    <row r="85" spans="4:6">
      <c r="D85" t="s">
        <v>218</v>
      </c>
      <c r="E85" s="3"/>
      <c r="F85" s="3" t="s">
        <v>245</v>
      </c>
    </row>
    <row r="86" spans="4:6">
      <c r="D86" t="s">
        <v>114</v>
      </c>
      <c r="E86" s="3"/>
      <c r="F86" s="3" t="s">
        <v>246</v>
      </c>
    </row>
    <row r="87" spans="4:6">
      <c r="D87" t="s">
        <v>172</v>
      </c>
      <c r="E87" s="3"/>
      <c r="F87" s="3" t="s">
        <v>247</v>
      </c>
    </row>
    <row r="88" spans="4:6">
      <c r="D88" t="s">
        <v>215</v>
      </c>
      <c r="E88" s="3"/>
      <c r="F88" s="3" t="s">
        <v>248</v>
      </c>
    </row>
    <row r="89" spans="4:6">
      <c r="D89" t="s">
        <v>85</v>
      </c>
      <c r="E89" s="3"/>
      <c r="F89" s="3" t="s">
        <v>249</v>
      </c>
    </row>
    <row r="90" spans="4:6">
      <c r="D90" t="s">
        <v>111</v>
      </c>
      <c r="E90" s="3"/>
      <c r="F90" s="3" t="s">
        <v>250</v>
      </c>
    </row>
    <row r="91" spans="4:6">
      <c r="D91" t="s">
        <v>184</v>
      </c>
      <c r="E91" s="3"/>
      <c r="F91" s="3" t="s">
        <v>251</v>
      </c>
    </row>
    <row r="92" spans="4:6">
      <c r="D92" t="s">
        <v>5</v>
      </c>
      <c r="E92" s="3"/>
      <c r="F92" s="3" t="s">
        <v>252</v>
      </c>
    </row>
    <row r="93" spans="4:6">
      <c r="D93"/>
      <c r="E93" s="3"/>
    </row>
    <row r="94" spans="4:6">
      <c r="D94" t="s">
        <v>92</v>
      </c>
      <c r="E94" s="3"/>
      <c r="F94" s="3" t="s">
        <v>253</v>
      </c>
    </row>
    <row r="95" spans="4:6">
      <c r="D95" t="s">
        <v>219</v>
      </c>
      <c r="E95" s="3"/>
      <c r="F95" s="3" t="s">
        <v>254</v>
      </c>
    </row>
    <row r="96" spans="4:6">
      <c r="D96" t="s">
        <v>172</v>
      </c>
      <c r="E96" s="3"/>
      <c r="F96" s="3" t="s">
        <v>255</v>
      </c>
    </row>
    <row r="97" spans="4:6">
      <c r="D97" t="s">
        <v>125</v>
      </c>
      <c r="E97" s="3"/>
      <c r="F97" s="3" t="s">
        <v>256</v>
      </c>
    </row>
    <row r="98" spans="4:6">
      <c r="D98" t="s">
        <v>220</v>
      </c>
      <c r="E98" s="3"/>
      <c r="F98" s="3" t="s">
        <v>257</v>
      </c>
    </row>
    <row r="99" spans="4:6">
      <c r="D99" t="s">
        <v>140</v>
      </c>
      <c r="E99" s="3"/>
      <c r="F99" s="3" t="s">
        <v>258</v>
      </c>
    </row>
    <row r="100" spans="4:6">
      <c r="D100" t="s">
        <v>141</v>
      </c>
      <c r="E100" s="3"/>
      <c r="F100" s="3" t="s">
        <v>259</v>
      </c>
    </row>
    <row r="101" spans="4:6">
      <c r="D101" t="s">
        <v>142</v>
      </c>
      <c r="E101" s="3"/>
      <c r="F101" s="3" t="s">
        <v>260</v>
      </c>
    </row>
    <row r="102" spans="4:6">
      <c r="D102" t="s">
        <v>184</v>
      </c>
      <c r="E102" s="3"/>
      <c r="F102" s="3" t="s">
        <v>261</v>
      </c>
    </row>
    <row r="103" spans="4:6">
      <c r="D103" t="s">
        <v>5</v>
      </c>
      <c r="E103" s="3"/>
      <c r="F103" s="3" t="s">
        <v>262</v>
      </c>
    </row>
    <row r="104" spans="4:6">
      <c r="D104"/>
      <c r="E104" s="3"/>
    </row>
    <row r="105" spans="4:6">
      <c r="D105" t="s">
        <v>128</v>
      </c>
      <c r="E105" s="3"/>
      <c r="F105" s="3" t="s">
        <v>263</v>
      </c>
    </row>
    <row r="106" spans="4:6">
      <c r="D106" t="s">
        <v>121</v>
      </c>
      <c r="E106" s="3"/>
      <c r="F106" s="3" t="s">
        <v>264</v>
      </c>
    </row>
    <row r="107" spans="4:6">
      <c r="D107" t="s">
        <v>109</v>
      </c>
      <c r="E107" s="3"/>
      <c r="F107" s="3" t="s">
        <v>265</v>
      </c>
    </row>
    <row r="108" spans="4:6">
      <c r="D108" t="s">
        <v>172</v>
      </c>
      <c r="E108" s="3"/>
      <c r="F108" s="3" t="s">
        <v>266</v>
      </c>
    </row>
    <row r="109" spans="4:6">
      <c r="D109" t="s">
        <v>143</v>
      </c>
      <c r="E109" s="3"/>
      <c r="F109" s="3" t="s">
        <v>267</v>
      </c>
    </row>
    <row r="110" spans="4:6">
      <c r="D110" t="s">
        <v>100</v>
      </c>
      <c r="E110" s="3"/>
      <c r="F110" s="3" t="s">
        <v>268</v>
      </c>
    </row>
    <row r="111" spans="4:6">
      <c r="D111" t="s">
        <v>132</v>
      </c>
      <c r="E111" s="3"/>
      <c r="F111" s="3" t="s">
        <v>269</v>
      </c>
    </row>
    <row r="112" spans="4:6">
      <c r="D112" t="s">
        <v>184</v>
      </c>
      <c r="E112" s="3"/>
      <c r="F112" s="3" t="s">
        <v>270</v>
      </c>
    </row>
    <row r="113" spans="4:6">
      <c r="D113" t="s">
        <v>5</v>
      </c>
      <c r="E113" s="3"/>
      <c r="F113" s="3" t="s">
        <v>271</v>
      </c>
    </row>
    <row r="114" spans="4:6">
      <c r="D114"/>
      <c r="E114" s="3"/>
    </row>
    <row r="115" spans="4:6">
      <c r="D115" t="s">
        <v>120</v>
      </c>
      <c r="E115" s="3"/>
      <c r="F115" s="3" t="s">
        <v>272</v>
      </c>
    </row>
    <row r="116" spans="4:6">
      <c r="D116" t="s">
        <v>97</v>
      </c>
      <c r="E116" s="3"/>
      <c r="F116" s="3" t="s">
        <v>273</v>
      </c>
    </row>
    <row r="117" spans="4:6">
      <c r="D117" t="s">
        <v>143</v>
      </c>
      <c r="E117" s="3"/>
      <c r="F117" s="3" t="s">
        <v>274</v>
      </c>
    </row>
    <row r="118" spans="4:6">
      <c r="D118" t="s">
        <v>129</v>
      </c>
      <c r="E118" s="3"/>
      <c r="F118" s="3" t="s">
        <v>275</v>
      </c>
    </row>
    <row r="119" spans="4:6">
      <c r="D119" t="s">
        <v>115</v>
      </c>
      <c r="E119" s="3"/>
      <c r="F119" s="3" t="s">
        <v>276</v>
      </c>
    </row>
    <row r="120" spans="4:6">
      <c r="D120" t="s">
        <v>145</v>
      </c>
      <c r="E120" s="3"/>
      <c r="F120" s="3" t="s">
        <v>277</v>
      </c>
    </row>
    <row r="121" spans="4:6">
      <c r="D121" t="s">
        <v>221</v>
      </c>
      <c r="E121" s="3"/>
      <c r="F121" s="3" t="s">
        <v>278</v>
      </c>
    </row>
    <row r="122" spans="4:6">
      <c r="D122" t="s">
        <v>184</v>
      </c>
      <c r="E122" s="3"/>
      <c r="F122" s="3" t="s">
        <v>279</v>
      </c>
    </row>
    <row r="123" spans="4:6">
      <c r="D123" t="s">
        <v>5</v>
      </c>
      <c r="E123" s="3"/>
      <c r="F123" s="3" t="s">
        <v>280</v>
      </c>
    </row>
    <row r="124" spans="4:6">
      <c r="D124"/>
      <c r="E124" s="3"/>
    </row>
    <row r="125" spans="4:6">
      <c r="D125" t="s">
        <v>222</v>
      </c>
      <c r="E125" s="3"/>
      <c r="F125" s="3" t="s">
        <v>281</v>
      </c>
    </row>
    <row r="126" spans="4:6">
      <c r="D126" t="s">
        <v>126</v>
      </c>
      <c r="E126" s="3"/>
      <c r="F126" s="3" t="s">
        <v>282</v>
      </c>
    </row>
    <row r="127" spans="4:6">
      <c r="D127" t="s">
        <v>98</v>
      </c>
      <c r="E127" s="3"/>
      <c r="F127" s="3" t="s">
        <v>283</v>
      </c>
    </row>
    <row r="128" spans="4:6">
      <c r="D128" t="s">
        <v>223</v>
      </c>
      <c r="E128" s="3"/>
      <c r="F128" s="3" t="s">
        <v>284</v>
      </c>
    </row>
    <row r="129" spans="4:6">
      <c r="D129" t="s">
        <v>122</v>
      </c>
      <c r="E129" s="3"/>
      <c r="F129" s="3" t="s">
        <v>285</v>
      </c>
    </row>
    <row r="130" spans="4:6">
      <c r="D130" t="s">
        <v>6</v>
      </c>
      <c r="E130" s="3"/>
      <c r="F130" s="3" t="s">
        <v>286</v>
      </c>
    </row>
    <row r="131" spans="4:6">
      <c r="D131" t="s">
        <v>224</v>
      </c>
      <c r="E131" s="3"/>
      <c r="F131" s="3" t="s">
        <v>287</v>
      </c>
    </row>
    <row r="132" spans="4:6">
      <c r="D132" t="s">
        <v>7</v>
      </c>
      <c r="E132" s="3"/>
      <c r="F132" s="3" t="s">
        <v>288</v>
      </c>
    </row>
    <row r="133" spans="4:6">
      <c r="D133" t="s">
        <v>4</v>
      </c>
      <c r="E133" s="3"/>
      <c r="F133" s="3" t="s">
        <v>289</v>
      </c>
    </row>
    <row r="134" spans="4:6">
      <c r="D134" t="s">
        <v>5</v>
      </c>
      <c r="E134" s="3"/>
      <c r="F134" s="3" t="s">
        <v>290</v>
      </c>
    </row>
    <row r="135" spans="4:6">
      <c r="D135"/>
      <c r="E135" s="3"/>
    </row>
    <row r="136" spans="4:6">
      <c r="D136" t="s">
        <v>225</v>
      </c>
      <c r="E136" s="3"/>
      <c r="F136" s="3" t="s">
        <v>291</v>
      </c>
    </row>
    <row r="137" spans="4:6">
      <c r="D137" t="s">
        <v>226</v>
      </c>
      <c r="E137" s="3"/>
      <c r="F137" s="3" t="s">
        <v>292</v>
      </c>
    </row>
    <row r="138" spans="4:6">
      <c r="D138" t="s">
        <v>38</v>
      </c>
      <c r="E138" s="3"/>
      <c r="F138" s="3" t="s">
        <v>293</v>
      </c>
    </row>
    <row r="139" spans="4:6">
      <c r="D139" t="s">
        <v>6</v>
      </c>
      <c r="E139" s="3"/>
      <c r="F139" s="3" t="s">
        <v>294</v>
      </c>
    </row>
    <row r="140" spans="4:6">
      <c r="D140" t="s">
        <v>227</v>
      </c>
      <c r="E140" s="3"/>
      <c r="F140" s="3" t="s">
        <v>295</v>
      </c>
    </row>
    <row r="141" spans="4:6">
      <c r="D141" t="s">
        <v>228</v>
      </c>
      <c r="E141" s="3"/>
      <c r="F141" s="3" t="s">
        <v>296</v>
      </c>
    </row>
    <row r="142" spans="4:6">
      <c r="D142" t="s">
        <v>4</v>
      </c>
      <c r="E142" s="3"/>
      <c r="F142" s="3" t="s">
        <v>297</v>
      </c>
    </row>
    <row r="143" spans="4:6">
      <c r="D143" t="s">
        <v>5</v>
      </c>
      <c r="E143" s="3"/>
      <c r="F143" s="3" t="s">
        <v>298</v>
      </c>
    </row>
    <row r="144" spans="4:6">
      <c r="D144"/>
      <c r="E144" s="3"/>
    </row>
    <row r="145" spans="4:6">
      <c r="D145" t="s">
        <v>99</v>
      </c>
      <c r="E145" s="3"/>
      <c r="F145" s="3" t="s">
        <v>299</v>
      </c>
    </row>
    <row r="146" spans="4:6">
      <c r="D146" t="s">
        <v>4</v>
      </c>
      <c r="E146" s="3"/>
      <c r="F146" s="3" t="s">
        <v>300</v>
      </c>
    </row>
    <row r="147" spans="4:6">
      <c r="D147" t="s">
        <v>226</v>
      </c>
      <c r="E147" s="3"/>
      <c r="F147" s="3" t="s">
        <v>301</v>
      </c>
    </row>
    <row r="148" spans="4:6">
      <c r="D148" t="s">
        <v>229</v>
      </c>
      <c r="E148" s="3"/>
      <c r="F148" s="3" t="s">
        <v>302</v>
      </c>
    </row>
    <row r="149" spans="4:6">
      <c r="D149" t="s">
        <v>230</v>
      </c>
      <c r="E149" s="3"/>
      <c r="F149" s="3" t="s">
        <v>303</v>
      </c>
    </row>
    <row r="150" spans="4:6">
      <c r="D150" t="s">
        <v>224</v>
      </c>
      <c r="E150" s="3"/>
      <c r="F150" s="3" t="s">
        <v>304</v>
      </c>
    </row>
    <row r="151" spans="4:6">
      <c r="D151" t="s">
        <v>231</v>
      </c>
      <c r="E151" s="3"/>
      <c r="F151" s="3" t="s">
        <v>305</v>
      </c>
    </row>
    <row r="152" spans="4:6">
      <c r="D152" t="s">
        <v>232</v>
      </c>
      <c r="E152" s="3"/>
      <c r="F152" s="3" t="s">
        <v>306</v>
      </c>
    </row>
    <row r="153" spans="4:6">
      <c r="D153" t="s">
        <v>5</v>
      </c>
      <c r="E153" s="3"/>
      <c r="F153" s="3" t="s">
        <v>307</v>
      </c>
    </row>
    <row r="154" spans="4:6">
      <c r="D154"/>
      <c r="E154" s="3"/>
      <c r="F154"/>
    </row>
  </sheetData>
  <pageMargins left="0.7" right="0.7" top="0.75" bottom="0.75" header="0.3" footer="0.3"/>
  <pageSetup orientation="portrait" r:id="rId1"/>
  <ignoredErrors>
    <ignoredError sqref="G1 G3 A1 C1 E1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X25"/>
  <sheetViews>
    <sheetView topLeftCell="L4" workbookViewId="0">
      <selection activeCell="V23" sqref="V23"/>
    </sheetView>
  </sheetViews>
  <sheetFormatPr defaultRowHeight="15.75"/>
  <cols>
    <col min="3" max="3" width="41.25" customWidth="1"/>
    <col min="4" max="4" width="13.75" customWidth="1"/>
  </cols>
  <sheetData>
    <row r="1" spans="1:18">
      <c r="A1" t="s">
        <v>0</v>
      </c>
      <c r="B1" t="s">
        <v>338</v>
      </c>
      <c r="C1" t="s">
        <v>31</v>
      </c>
      <c r="D1" t="s">
        <v>8</v>
      </c>
      <c r="E1" t="s">
        <v>339</v>
      </c>
      <c r="F1" t="s">
        <v>340</v>
      </c>
      <c r="G1" t="s">
        <v>339</v>
      </c>
      <c r="H1" t="s">
        <v>340</v>
      </c>
      <c r="I1" t="s">
        <v>339</v>
      </c>
      <c r="J1" t="s">
        <v>340</v>
      </c>
      <c r="K1" t="s">
        <v>339</v>
      </c>
      <c r="L1" t="s">
        <v>340</v>
      </c>
      <c r="M1" t="s">
        <v>339</v>
      </c>
      <c r="N1" t="s">
        <v>340</v>
      </c>
      <c r="O1" t="s">
        <v>339</v>
      </c>
      <c r="P1" t="s">
        <v>340</v>
      </c>
      <c r="Q1" t="s">
        <v>339</v>
      </c>
      <c r="R1" t="s">
        <v>340</v>
      </c>
    </row>
    <row r="2" spans="1:18">
      <c r="A2" s="8">
        <v>1</v>
      </c>
      <c r="B2" t="s">
        <v>322</v>
      </c>
      <c r="C2" t="s">
        <v>66</v>
      </c>
      <c r="D2" s="7">
        <v>1</v>
      </c>
    </row>
    <row r="3" spans="1:18">
      <c r="A3" s="8">
        <v>2</v>
      </c>
      <c r="B3" t="s">
        <v>322</v>
      </c>
      <c r="C3" t="s">
        <v>67</v>
      </c>
      <c r="D3" s="7">
        <v>2</v>
      </c>
    </row>
    <row r="4" spans="1:18">
      <c r="A4" s="8">
        <v>3</v>
      </c>
      <c r="B4" t="s">
        <v>322</v>
      </c>
      <c r="C4" t="s">
        <v>68</v>
      </c>
      <c r="D4" s="7">
        <v>3</v>
      </c>
    </row>
    <row r="5" spans="1:18">
      <c r="A5" s="8">
        <v>4</v>
      </c>
      <c r="B5" t="s">
        <v>322</v>
      </c>
      <c r="C5" t="s">
        <v>69</v>
      </c>
      <c r="D5" s="7">
        <v>4</v>
      </c>
    </row>
    <row r="6" spans="1:18">
      <c r="A6" s="8">
        <v>5</v>
      </c>
      <c r="B6" t="s">
        <v>322</v>
      </c>
      <c r="C6" t="s">
        <v>70</v>
      </c>
      <c r="D6" s="7">
        <v>5</v>
      </c>
    </row>
    <row r="7" spans="1:18">
      <c r="A7" s="8">
        <v>6</v>
      </c>
      <c r="B7" t="s">
        <v>322</v>
      </c>
      <c r="C7" t="s">
        <v>71</v>
      </c>
      <c r="D7" s="7">
        <v>6</v>
      </c>
    </row>
    <row r="8" spans="1:18">
      <c r="A8" s="8">
        <v>7</v>
      </c>
      <c r="B8" t="s">
        <v>322</v>
      </c>
      <c r="C8" t="s">
        <v>72</v>
      </c>
      <c r="D8" s="7">
        <v>7</v>
      </c>
    </row>
    <row r="10" spans="1:18">
      <c r="A10" s="8">
        <v>1</v>
      </c>
      <c r="B10" t="s">
        <v>323</v>
      </c>
      <c r="C10" t="s">
        <v>73</v>
      </c>
      <c r="D10" t="s">
        <v>335</v>
      </c>
      <c r="E10" t="s">
        <v>231</v>
      </c>
      <c r="F10" t="s">
        <v>22</v>
      </c>
      <c r="G10" t="s">
        <v>13</v>
      </c>
      <c r="H10" t="s">
        <v>22</v>
      </c>
      <c r="I10" t="s">
        <v>13</v>
      </c>
      <c r="J10" t="s">
        <v>17</v>
      </c>
    </row>
    <row r="11" spans="1:18">
      <c r="A11" s="8">
        <v>2</v>
      </c>
      <c r="B11" t="s">
        <v>323</v>
      </c>
      <c r="C11" t="s">
        <v>74</v>
      </c>
      <c r="E11" t="s">
        <v>231</v>
      </c>
      <c r="F11" t="s">
        <v>21</v>
      </c>
      <c r="G11" t="s">
        <v>13</v>
      </c>
      <c r="H11" t="s">
        <v>21</v>
      </c>
    </row>
    <row r="12" spans="1:18">
      <c r="A12" s="8">
        <v>3</v>
      </c>
      <c r="B12" t="s">
        <v>323</v>
      </c>
      <c r="C12" t="s">
        <v>75</v>
      </c>
      <c r="D12" t="s">
        <v>14</v>
      </c>
      <c r="E12" t="s">
        <v>231</v>
      </c>
      <c r="F12" t="s">
        <v>23</v>
      </c>
      <c r="G12" t="s">
        <v>13</v>
      </c>
      <c r="H12" t="s">
        <v>23</v>
      </c>
    </row>
    <row r="13" spans="1:18">
      <c r="A13" s="8">
        <v>4</v>
      </c>
      <c r="B13" t="s">
        <v>323</v>
      </c>
      <c r="C13" t="s">
        <v>76</v>
      </c>
      <c r="D13" t="s">
        <v>16</v>
      </c>
      <c r="E13" t="s">
        <v>6</v>
      </c>
      <c r="F13" t="s">
        <v>21</v>
      </c>
      <c r="G13" t="s">
        <v>6</v>
      </c>
      <c r="H13" t="s">
        <v>22</v>
      </c>
    </row>
    <row r="14" spans="1:18">
      <c r="A14" s="8">
        <v>5</v>
      </c>
      <c r="B14" t="s">
        <v>323</v>
      </c>
      <c r="C14" t="s">
        <v>77</v>
      </c>
      <c r="D14" t="s">
        <v>19</v>
      </c>
      <c r="E14" t="s">
        <v>6</v>
      </c>
      <c r="F14" t="s">
        <v>17</v>
      </c>
      <c r="G14" t="s">
        <v>231</v>
      </c>
      <c r="H14" t="s">
        <v>15</v>
      </c>
    </row>
    <row r="15" spans="1:18">
      <c r="A15" s="8">
        <v>6</v>
      </c>
      <c r="B15" t="s">
        <v>323</v>
      </c>
      <c r="C15" t="s">
        <v>78</v>
      </c>
      <c r="D15" t="s">
        <v>20</v>
      </c>
      <c r="E15" t="s">
        <v>6</v>
      </c>
      <c r="F15" t="s">
        <v>15</v>
      </c>
      <c r="G15" t="s">
        <v>6</v>
      </c>
      <c r="H15" t="s">
        <v>23</v>
      </c>
    </row>
    <row r="16" spans="1:18">
      <c r="A16" s="8">
        <v>7</v>
      </c>
      <c r="B16" t="s">
        <v>323</v>
      </c>
      <c r="C16" t="s">
        <v>79</v>
      </c>
      <c r="D16" t="s">
        <v>18</v>
      </c>
      <c r="E16" t="s">
        <v>231</v>
      </c>
      <c r="F16" t="s">
        <v>17</v>
      </c>
      <c r="G16" t="s">
        <v>13</v>
      </c>
      <c r="H16" t="s">
        <v>15</v>
      </c>
    </row>
    <row r="25" spans="21:24" ht="19.5">
      <c r="U25" s="23" t="s">
        <v>875</v>
      </c>
      <c r="V25" s="23" t="s">
        <v>876</v>
      </c>
      <c r="W25" s="23" t="s">
        <v>877</v>
      </c>
      <c r="X25" s="23" t="s">
        <v>878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T14"/>
  <sheetViews>
    <sheetView workbookViewId="0">
      <selection activeCell="F10" sqref="F10"/>
    </sheetView>
  </sheetViews>
  <sheetFormatPr defaultRowHeight="19.5"/>
  <cols>
    <col min="1" max="1" width="9" style="104"/>
    <col min="2" max="2" width="21.875" style="68" customWidth="1"/>
    <col min="3" max="3" width="25.25" style="105" customWidth="1"/>
    <col min="4" max="4" width="25.125" style="105" customWidth="1"/>
    <col min="5" max="5" width="25.875" style="105" customWidth="1"/>
    <col min="6" max="6" width="26.5" style="105" customWidth="1"/>
    <col min="7" max="7" width="14.25" style="105" customWidth="1"/>
    <col min="8" max="12" width="9" style="68"/>
    <col min="13" max="13" width="13" style="68" customWidth="1"/>
    <col min="14" max="14" width="9" style="68"/>
    <col min="15" max="15" width="19.125" style="68" customWidth="1"/>
    <col min="16" max="16" width="22.625" style="68" customWidth="1"/>
    <col min="17" max="17" width="22.5" style="68" customWidth="1"/>
    <col min="18" max="18" width="18.125" style="68" customWidth="1"/>
    <col min="19" max="19" width="19.875" style="68" customWidth="1"/>
    <col min="20" max="20" width="18.5" style="68" customWidth="1"/>
    <col min="21" max="16384" width="9" style="68"/>
  </cols>
  <sheetData>
    <row r="1" spans="1:20" s="107" customFormat="1">
      <c r="A1" s="99" t="s">
        <v>0</v>
      </c>
      <c r="B1" s="99" t="s">
        <v>879</v>
      </c>
      <c r="C1" s="100" t="s">
        <v>870</v>
      </c>
      <c r="D1" s="100" t="s">
        <v>871</v>
      </c>
      <c r="E1" s="100" t="s">
        <v>872</v>
      </c>
      <c r="F1" s="100" t="s">
        <v>873</v>
      </c>
      <c r="G1" s="100" t="s">
        <v>874</v>
      </c>
      <c r="M1" s="108"/>
    </row>
    <row r="2" spans="1:20">
      <c r="A2" s="101">
        <v>1</v>
      </c>
      <c r="B2" s="102" t="s">
        <v>859</v>
      </c>
      <c r="C2" s="136" t="s">
        <v>1296</v>
      </c>
      <c r="D2" s="136" t="s">
        <v>1293</v>
      </c>
      <c r="E2" s="136" t="s">
        <v>1290</v>
      </c>
      <c r="F2" s="136" t="s">
        <v>1295</v>
      </c>
      <c r="G2" s="136" t="s">
        <v>1291</v>
      </c>
      <c r="N2" s="106"/>
      <c r="P2" s="110"/>
      <c r="Q2" s="110"/>
      <c r="R2" s="110"/>
      <c r="S2" s="110"/>
      <c r="T2" s="110"/>
    </row>
    <row r="3" spans="1:20">
      <c r="A3" s="101">
        <v>2</v>
      </c>
      <c r="B3" s="102" t="s">
        <v>860</v>
      </c>
      <c r="C3" s="136" t="s">
        <v>1296</v>
      </c>
      <c r="D3" s="136" t="s">
        <v>1293</v>
      </c>
      <c r="E3" s="136" t="s">
        <v>1290</v>
      </c>
      <c r="F3" s="136" t="s">
        <v>1295</v>
      </c>
      <c r="G3" s="136" t="s">
        <v>1291</v>
      </c>
      <c r="N3" s="106"/>
      <c r="P3" s="110"/>
      <c r="Q3" s="110"/>
      <c r="R3" s="110"/>
      <c r="S3" s="110"/>
      <c r="T3" s="110"/>
    </row>
    <row r="4" spans="1:20">
      <c r="A4" s="101">
        <v>3</v>
      </c>
      <c r="B4" s="102" t="s">
        <v>861</v>
      </c>
      <c r="C4" s="136" t="s">
        <v>1296</v>
      </c>
      <c r="D4" s="136" t="s">
        <v>1293</v>
      </c>
      <c r="E4" s="136" t="s">
        <v>1290</v>
      </c>
      <c r="F4" s="136" t="s">
        <v>1295</v>
      </c>
      <c r="G4" s="136" t="s">
        <v>1292</v>
      </c>
      <c r="N4" s="106"/>
      <c r="P4" s="110"/>
      <c r="Q4" s="110"/>
      <c r="R4" s="110"/>
      <c r="S4" s="110"/>
      <c r="T4" s="110"/>
    </row>
    <row r="5" spans="1:20">
      <c r="A5" s="101">
        <v>4</v>
      </c>
      <c r="B5" s="102" t="s">
        <v>862</v>
      </c>
      <c r="C5" s="136" t="s">
        <v>1296</v>
      </c>
      <c r="D5" s="136" t="s">
        <v>1293</v>
      </c>
      <c r="E5" s="136" t="s">
        <v>1290</v>
      </c>
      <c r="F5" s="136" t="s">
        <v>1295</v>
      </c>
      <c r="G5" s="136" t="s">
        <v>1292</v>
      </c>
      <c r="N5" s="106"/>
      <c r="P5" s="110"/>
      <c r="Q5" s="110"/>
      <c r="R5" s="110"/>
      <c r="S5" s="110"/>
      <c r="T5" s="110"/>
    </row>
    <row r="6" spans="1:20">
      <c r="A6" s="101">
        <v>5</v>
      </c>
      <c r="B6" s="102" t="s">
        <v>863</v>
      </c>
      <c r="C6" s="136" t="s">
        <v>1296</v>
      </c>
      <c r="D6" s="136" t="s">
        <v>1293</v>
      </c>
      <c r="E6" s="136" t="s">
        <v>1290</v>
      </c>
      <c r="F6" s="136" t="s">
        <v>1295</v>
      </c>
      <c r="G6" s="136" t="s">
        <v>1292</v>
      </c>
      <c r="N6" s="106"/>
      <c r="P6" s="110"/>
      <c r="Q6" s="110"/>
      <c r="R6" s="110"/>
      <c r="S6" s="110"/>
      <c r="T6" s="110"/>
    </row>
    <row r="7" spans="1:20">
      <c r="A7" s="101">
        <v>6</v>
      </c>
      <c r="B7" s="102" t="s">
        <v>864</v>
      </c>
      <c r="C7" s="136" t="s">
        <v>1296</v>
      </c>
      <c r="D7" s="136" t="s">
        <v>1293</v>
      </c>
      <c r="E7" s="136" t="s">
        <v>1290</v>
      </c>
      <c r="F7" s="136" t="s">
        <v>1295</v>
      </c>
      <c r="G7" s="136" t="s">
        <v>1293</v>
      </c>
      <c r="N7" s="106"/>
      <c r="P7" s="110"/>
      <c r="Q7" s="110"/>
      <c r="R7" s="110"/>
      <c r="S7" s="110"/>
      <c r="T7" s="110"/>
    </row>
    <row r="8" spans="1:20">
      <c r="A8" s="101">
        <v>7</v>
      </c>
      <c r="B8" s="102" t="s">
        <v>865</v>
      </c>
      <c r="C8" s="136" t="s">
        <v>1296</v>
      </c>
      <c r="D8" s="136" t="s">
        <v>1293</v>
      </c>
      <c r="E8" s="136" t="s">
        <v>1290</v>
      </c>
      <c r="F8" s="136" t="s">
        <v>1295</v>
      </c>
      <c r="G8" s="136" t="s">
        <v>1293</v>
      </c>
      <c r="N8" s="106"/>
      <c r="P8" s="110"/>
      <c r="Q8" s="110"/>
      <c r="R8" s="110"/>
      <c r="S8" s="110"/>
      <c r="T8" s="110"/>
    </row>
    <row r="9" spans="1:20">
      <c r="A9" s="101">
        <v>8</v>
      </c>
      <c r="B9" s="102" t="s">
        <v>866</v>
      </c>
      <c r="C9" s="136" t="s">
        <v>1296</v>
      </c>
      <c r="D9" s="136" t="s">
        <v>1293</v>
      </c>
      <c r="E9" s="136" t="s">
        <v>1290</v>
      </c>
      <c r="F9" s="136" t="s">
        <v>1295</v>
      </c>
      <c r="G9" s="136" t="s">
        <v>1294</v>
      </c>
      <c r="N9" s="106"/>
      <c r="P9" s="110"/>
      <c r="Q9" s="110"/>
      <c r="R9" s="110"/>
      <c r="S9" s="110"/>
      <c r="T9" s="110"/>
    </row>
    <row r="10" spans="1:20">
      <c r="A10" s="101">
        <v>9</v>
      </c>
      <c r="B10" s="102" t="s">
        <v>867</v>
      </c>
      <c r="C10" s="136" t="s">
        <v>1296</v>
      </c>
      <c r="D10" s="136" t="s">
        <v>1293</v>
      </c>
      <c r="E10" s="136" t="s">
        <v>1290</v>
      </c>
      <c r="F10" s="136" t="s">
        <v>1295</v>
      </c>
      <c r="G10" s="136" t="s">
        <v>1294</v>
      </c>
      <c r="N10" s="106"/>
      <c r="P10" s="110"/>
      <c r="Q10" s="110"/>
      <c r="R10" s="110"/>
      <c r="S10" s="110"/>
      <c r="T10" s="110"/>
    </row>
    <row r="11" spans="1:20">
      <c r="A11" s="101">
        <v>10</v>
      </c>
      <c r="B11" s="102" t="s">
        <v>868</v>
      </c>
      <c r="C11" s="136" t="s">
        <v>1296</v>
      </c>
      <c r="D11" s="136" t="s">
        <v>1293</v>
      </c>
      <c r="E11" s="136" t="s">
        <v>1290</v>
      </c>
      <c r="F11" s="136" t="s">
        <v>1295</v>
      </c>
      <c r="G11" s="136" t="s">
        <v>1294</v>
      </c>
      <c r="N11" s="106"/>
      <c r="P11" s="110"/>
      <c r="Q11" s="110"/>
      <c r="R11" s="110"/>
      <c r="S11" s="110"/>
      <c r="T11" s="110"/>
    </row>
    <row r="12" spans="1:20">
      <c r="A12" s="101">
        <v>11</v>
      </c>
      <c r="B12" s="102" t="s">
        <v>869</v>
      </c>
      <c r="C12" s="136" t="s">
        <v>1296</v>
      </c>
      <c r="D12" s="136" t="s">
        <v>1293</v>
      </c>
      <c r="E12" s="136" t="s">
        <v>1290</v>
      </c>
      <c r="F12" s="136" t="s">
        <v>1295</v>
      </c>
      <c r="G12" s="136" t="s">
        <v>1294</v>
      </c>
      <c r="N12" s="106"/>
      <c r="P12" s="110"/>
      <c r="Q12" s="110"/>
      <c r="R12" s="110"/>
      <c r="S12" s="110"/>
      <c r="T12" s="110"/>
    </row>
    <row r="13" spans="1:20">
      <c r="A13" s="101">
        <v>12</v>
      </c>
      <c r="B13" s="102" t="s">
        <v>323</v>
      </c>
      <c r="C13" s="136" t="s">
        <v>1296</v>
      </c>
      <c r="D13" s="136" t="s">
        <v>1293</v>
      </c>
      <c r="E13" s="136" t="s">
        <v>1290</v>
      </c>
      <c r="F13" s="136" t="s">
        <v>1295</v>
      </c>
      <c r="G13" s="103"/>
      <c r="N13" s="106"/>
      <c r="P13" s="110"/>
      <c r="Q13" s="110"/>
      <c r="R13" s="110"/>
      <c r="S13" s="110"/>
      <c r="T13" s="110"/>
    </row>
    <row r="14" spans="1:20">
      <c r="A14" s="101">
        <v>13</v>
      </c>
      <c r="B14" s="102" t="s">
        <v>322</v>
      </c>
      <c r="C14" s="23" t="s">
        <v>875</v>
      </c>
      <c r="D14" s="23" t="s">
        <v>876</v>
      </c>
      <c r="E14" s="23" t="s">
        <v>877</v>
      </c>
      <c r="F14" s="23" t="s">
        <v>878</v>
      </c>
      <c r="G14" s="103"/>
      <c r="N14" s="106"/>
      <c r="P14" s="109"/>
      <c r="Q14" s="109"/>
      <c r="R14" s="109"/>
      <c r="S14" s="109"/>
      <c r="T14" s="10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তাকমিল</vt:lpstr>
      <vt:lpstr>মিশকাত</vt:lpstr>
      <vt:lpstr>জালালাইন</vt:lpstr>
      <vt:lpstr>শরহে বেকায়া</vt:lpstr>
      <vt:lpstr>শরহে জামি</vt:lpstr>
      <vt:lpstr>কাফিয়া</vt:lpstr>
      <vt:lpstr>হেদায়াতুন নাহু</vt:lpstr>
      <vt:lpstr>নাহবেমির</vt:lpstr>
      <vt:lpstr>মিযান</vt:lpstr>
      <vt:lpstr>তাইসির</vt:lpstr>
      <vt:lpstr>এদাদিয়া</vt:lpstr>
      <vt:lpstr>হিফজ</vt:lpstr>
      <vt:lpstr>মকতব</vt:lpstr>
      <vt:lpstr>শিক্ষক</vt:lpstr>
      <vt:lpstr>গ্রুপ শিক্ষক</vt:lpstr>
      <vt:lpstr>বক্স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2026-08-09T05:57:02Z</cp:lastPrinted>
  <dcterms:created xsi:type="dcterms:W3CDTF">2026-07-27T05:30:25Z</dcterms:created>
  <dcterms:modified xsi:type="dcterms:W3CDTF">2026-08-13T17:20:09Z</dcterms:modified>
</cp:coreProperties>
</file>